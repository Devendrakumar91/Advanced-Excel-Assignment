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https://d.docs.live.net/0dd92463c5db701c/Documents/"/>
    </mc:Choice>
  </mc:AlternateContent>
  <xr:revisionPtr revIDLastSave="0" documentId="8_{08A20076-4549-45C1-9D2C-06DC34DAF71B}" xr6:coauthVersionLast="47" xr6:coauthVersionMax="47" xr10:uidLastSave="{00000000-0000-0000-0000-000000000000}"/>
  <bookViews>
    <workbookView xWindow="-110" yWindow="-110" windowWidth="19420" windowHeight="10420" activeTab="1" xr2:uid="{9FBBFDE3-22E3-4430-9798-97DF03F41618}"/>
  </bookViews>
  <sheets>
    <sheet name="Sheet2" sheetId="2" r:id="rId1"/>
    <sheet name="Sheet1" sheetId="1" r:id="rId2"/>
  </sheets>
  <calcPr calcId="191029"/>
  <pivotCaches>
    <pivotCache cacheId="0" r:id="rId3"/>
    <pivotCache cacheId="6" r:id="rId4"/>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32" i="1" l="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231" i="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c r="N246" i="1" a="1"/>
  <c r="N246" i="1" s="1"/>
  <c r="N247" i="1" a="1"/>
  <c r="N247" i="1"/>
  <c r="N248" i="1" a="1"/>
  <c r="N248" i="1" s="1"/>
  <c r="N249" i="1" a="1"/>
  <c r="N249" i="1"/>
  <c r="N250" i="1" a="1"/>
  <c r="N250" i="1" s="1"/>
  <c r="N251" i="1" a="1"/>
  <c r="N251" i="1"/>
  <c r="N252" i="1" a="1"/>
  <c r="N252" i="1" s="1"/>
  <c r="N253" i="1" a="1"/>
  <c r="N253" i="1"/>
  <c r="N254" i="1" a="1"/>
  <c r="N254" i="1" s="1"/>
  <c r="N255" i="1" a="1"/>
  <c r="N255" i="1"/>
  <c r="N256" i="1" a="1"/>
  <c r="N256" i="1" s="1"/>
  <c r="N257" i="1" a="1"/>
  <c r="N257" i="1" s="1"/>
  <c r="N258" i="1" a="1"/>
  <c r="N258" i="1" s="1"/>
  <c r="N259" i="1" a="1"/>
  <c r="N259" i="1" s="1"/>
  <c r="N260" i="1" a="1"/>
  <c r="N260" i="1" s="1"/>
  <c r="N261" i="1" a="1"/>
  <c r="N261" i="1"/>
  <c r="N262" i="1" a="1"/>
  <c r="N262" i="1" s="1"/>
  <c r="N263" i="1" a="1"/>
  <c r="N263" i="1"/>
  <c r="N264" i="1" a="1"/>
  <c r="N264" i="1" s="1"/>
  <c r="N265" i="1" a="1"/>
  <c r="N265" i="1"/>
  <c r="N266" i="1" a="1"/>
  <c r="N266" i="1" s="1"/>
  <c r="N267" i="1" a="1"/>
  <c r="N267" i="1"/>
  <c r="N268" i="1" a="1"/>
  <c r="N268" i="1" s="1"/>
  <c r="N269" i="1" a="1"/>
  <c r="N269" i="1"/>
  <c r="N270" i="1" a="1"/>
  <c r="N270" i="1" s="1"/>
  <c r="N271" i="1" a="1"/>
  <c r="N271" i="1"/>
  <c r="N272" i="1" a="1"/>
  <c r="N272" i="1" s="1"/>
  <c r="N273" i="1" a="1"/>
  <c r="N273" i="1" s="1"/>
  <c r="N274" i="1" a="1"/>
  <c r="N274" i="1" s="1"/>
  <c r="N275" i="1" a="1"/>
  <c r="N275" i="1" s="1"/>
  <c r="N276" i="1" a="1"/>
  <c r="N276" i="1" s="1"/>
  <c r="N277" i="1" a="1"/>
  <c r="N277" i="1"/>
  <c r="N278" i="1" a="1"/>
  <c r="N278" i="1" s="1"/>
  <c r="N279" i="1" a="1"/>
  <c r="N279" i="1"/>
  <c r="N280" i="1" a="1"/>
  <c r="N280" i="1" s="1"/>
  <c r="N281" i="1" a="1"/>
  <c r="N281" i="1" s="1"/>
  <c r="N282" i="1" a="1"/>
  <c r="N282" i="1" s="1"/>
  <c r="N283" i="1" a="1"/>
  <c r="N283" i="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c r="N296" i="1" a="1"/>
  <c r="N296" i="1" s="1"/>
  <c r="N297" i="1" a="1"/>
  <c r="N297" i="1" s="1"/>
  <c r="N298" i="1" a="1"/>
  <c r="N298" i="1" s="1"/>
  <c r="N299" i="1" a="1"/>
  <c r="N299" i="1"/>
  <c r="N300" i="1" a="1"/>
  <c r="N300" i="1" s="1"/>
  <c r="N301" i="1" a="1"/>
  <c r="N301" i="1" s="1"/>
  <c r="N302" i="1" a="1"/>
  <c r="N302" i="1" s="1"/>
  <c r="N303" i="1" a="1"/>
  <c r="N303" i="1"/>
  <c r="N304" i="1" a="1"/>
  <c r="N304" i="1" s="1"/>
  <c r="N305" i="1" a="1"/>
  <c r="N305" i="1" s="1"/>
  <c r="N306" i="1" a="1"/>
  <c r="N306" i="1" s="1"/>
  <c r="N307" i="1" a="1"/>
  <c r="N307" i="1"/>
  <c r="N308" i="1" a="1"/>
  <c r="N308" i="1" s="1"/>
  <c r="N309" i="1" a="1"/>
  <c r="N309" i="1" s="1"/>
  <c r="N310" i="1" a="1"/>
  <c r="N310" i="1" s="1"/>
  <c r="N311" i="1" a="1"/>
  <c r="N311" i="1"/>
  <c r="N312" i="1" a="1"/>
  <c r="N312" i="1" s="1"/>
  <c r="N313" i="1" a="1"/>
  <c r="N313" i="1" s="1"/>
  <c r="N314" i="1" a="1"/>
  <c r="N314" i="1" s="1"/>
  <c r="N315" i="1" a="1"/>
  <c r="N315" i="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c r="N328" i="1" a="1"/>
  <c r="N328" i="1" s="1"/>
  <c r="N329" i="1" a="1"/>
  <c r="N329" i="1" s="1"/>
  <c r="N330" i="1" a="1"/>
  <c r="N330" i="1" s="1"/>
  <c r="N231" i="1" a="1"/>
  <c r="N231" i="1" s="1"/>
  <c r="O16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<sst xmlns="http://schemas.openxmlformats.org/spreadsheetml/2006/main" count="2007" uniqueCount="502">
  <si>
    <t>Question 1 : Explain the difference between Absolute, Relative, and Mixed Cell Referencing in Excel with examples.</t>
  </si>
  <si>
    <r>
      <t xml:space="preserve">Ans;- 1. </t>
    </r>
    <r>
      <rPr>
        <b/>
        <sz val="10"/>
        <color theme="1"/>
        <rFont val="Arial"/>
        <family val="2"/>
      </rPr>
      <t>Relative Cell Reference</t>
    </r>
    <r>
      <rPr>
        <sz val="10"/>
        <color theme="1"/>
        <rFont val="Arial"/>
        <family val="2"/>
      </rPr>
      <t xml:space="preserve">
A Relative Reference is the default behavior in Excel. It is "relative" to the position of the cell where the formula is placed. When you copy the formula, the cell references change automatically based on the direction you move.
Format: A1
Example: If you have a formula =A1+B1 in cell C1 and you drag it down to C2, the formula automatically changes to =A2+B2.
Best For: Calculating row-by-row totals (like Price × Quantity) where each row needs its own unique data.
2. </t>
    </r>
    <r>
      <rPr>
        <b/>
        <sz val="10"/>
        <color theme="1"/>
        <rFont val="Arial"/>
        <family val="2"/>
      </rPr>
      <t>Absolute Cell Reference</t>
    </r>
    <r>
      <rPr>
        <sz val="10"/>
        <color theme="1"/>
        <rFont val="Arial"/>
        <family val="2"/>
      </rPr>
      <t xml:space="preserve">
An Absolute Reference stays fixed on a specific cell, no matter where you copy the formula. You "lock" the reference by adding a dollar sign ($) before both the column letter and the row number.
Format: $A$1
Example: Imagine you are calculating sales tax for a list of products. You put the tax rate (e.g., 7%) in cell E1. Your formula in C1 would be =B1*$E$1. When you drag this formula down, B1 will change to B2, but $E$1 will remain exactly the same.
Best For: Referring to a single constant value, such as a tax rate, a commission percentage, or a specific date.
3.</t>
    </r>
    <r>
      <rPr>
        <b/>
        <sz val="10"/>
        <color theme="1"/>
        <rFont val="Arial"/>
        <family val="2"/>
      </rPr>
      <t xml:space="preserve"> Mixed Cell Reference</t>
    </r>
    <r>
      <rPr>
        <sz val="10"/>
        <color theme="1"/>
        <rFont val="Arial"/>
        <family val="2"/>
      </rPr>
      <t xml:space="preserve">
A Mixed Reference locks either the row or the column, while leaving the other free to change. This is a "half-locked" state.
Format: $A1 (Column is locked, row changes) or A$1 (Row is locked, column changes).
Example (Row Locked): If you use =A$1 and drag it across columns, it will change to B$1, C$1, etc. However, if you drag it down, it stays A$1.
Example (Column Locked): If you use =$A1 and drag it across columns, it remains =$A1. If you drag it down, it changes to =$A2, =$A3.
Best For: Creating multiplication tables or complex summary reports where you need to refer to a fixed header row or a fixed side column.</t>
    </r>
  </si>
  <si>
    <t>Question 2 : What is a Macro in Excel? How does it help in automation?</t>
  </si>
  <si>
    <t>Ans:- A Macro in Excel is a series of recorded actions or a script written in VBA (Visual Basic for Applications) that allows you to bundle multiple repetitive tasks into a single command. Think of it as a "digital recorder" that memorizes your mouse clicks and keystrokes so you can play them back instantly.
How Macros Help in Automation
Macros are the primary tool for efficiency in Excel because they eliminate manual labor and human error. Here is how they drive automation:
Task Repetition: If you perform the same formatting (e.g., bolding headers, adding borders, changing colors) every morning on a new data export, a macro can do it in less than a second.
Complex Calculations: You can automate multi-step mathematical processes that involve moving data between different sheets or workbooks.
Consistency: Because the macro follows the exact same code every time, it ensures that your reports are formatted identically, removing the risk of accidental typos or missed steps.
Custom Functions: Advanced users can create their own "User Defined Functions" (UDFs) to perform calculations that Excel’s built-in formulas cannot handle.
Integration: Macros can be set to trigger automatically when you open a workbook, click a specific button, or change a specific cell value.
Simple Example
Imagine you receive a CSV file every day where you have to:
Delete Column B.
Filter for "Sales &gt; 100".
Create a Pie Chart.
Instead of doing this manually 365 times a year, you "Record Macro" once while performing those steps. For the rest of the year, you just click one button, and Excel completes all three steps instantly.</t>
  </si>
  <si>
    <t>Question 3 : What are Text Functions in Excel? Mention any five with examples</t>
  </si>
  <si>
    <r>
      <t>Ans:- Text Functions in Excel are specialized formulas designed to manipulate, format, and analyze "strings" (textual data) within a spreadsheet. They allow you to clean up inconsistent data, combine information from different cells, or extract specific parts of a word or phrase.
Here are five commonly used Text Functions with examples:
1.</t>
    </r>
    <r>
      <rPr>
        <b/>
        <sz val="10"/>
        <color theme="1"/>
        <rFont val="Arial"/>
        <family val="2"/>
      </rPr>
      <t xml:space="preserve"> CONCATENATE (or CONCAT)</t>
    </r>
    <r>
      <rPr>
        <sz val="10"/>
        <color theme="1"/>
        <rFont val="Arial"/>
        <family val="2"/>
      </rPr>
      <t xml:space="preserve">
This function joins two or more text strings into one single string.
Syntax: =CONCATENATE(text1, text2, ...)
Example: If cell A1 contains "John" and B1 contains "Doe", the formula =CONCATENATE(A1, " ", B1) will result in "John Doe".
2.</t>
    </r>
    <r>
      <rPr>
        <b/>
        <sz val="10"/>
        <color theme="1"/>
        <rFont val="Arial"/>
        <family val="2"/>
      </rPr>
      <t xml:space="preserve"> LEFT / RIGHT
</t>
    </r>
    <r>
      <rPr>
        <sz val="10"/>
        <color theme="1"/>
        <rFont val="Arial"/>
        <family val="2"/>
      </rPr>
      <t xml:space="preserve">These functions extract a specific number of characters from the start (Left) or the end (Right) of a text string.
Syntax: =LEFT(text, num_chars)
Example: If cell A1 contains "INV-1002", the formula =LEFT(A1, 3) will return "INV". Similarly, =RIGHT(A1, 4) would return "1002".
3. </t>
    </r>
    <r>
      <rPr>
        <b/>
        <sz val="10"/>
        <color theme="1"/>
        <rFont val="Arial"/>
        <family val="2"/>
      </rPr>
      <t>UPPER / LOWER / PROPER</t>
    </r>
    <r>
      <rPr>
        <sz val="10"/>
        <color theme="1"/>
        <rFont val="Arial"/>
        <family val="2"/>
      </rPr>
      <t xml:space="preserve">
These functions change the "case" of the text to make it consistent.
</t>
    </r>
    <r>
      <rPr>
        <b/>
        <sz val="10"/>
        <color theme="1"/>
        <rFont val="Arial"/>
        <family val="2"/>
      </rPr>
      <t>UPPER</t>
    </r>
    <r>
      <rPr>
        <sz val="10"/>
        <color theme="1"/>
        <rFont val="Arial"/>
        <family val="2"/>
      </rPr>
      <t xml:space="preserve">: Converts everything to uppercase (e.g., "excel" → "EXCEL").
</t>
    </r>
    <r>
      <rPr>
        <b/>
        <sz val="10"/>
        <color theme="1"/>
        <rFont val="Arial"/>
        <family val="2"/>
      </rPr>
      <t>LOWER</t>
    </r>
    <r>
      <rPr>
        <sz val="10"/>
        <color theme="1"/>
        <rFont val="Arial"/>
        <family val="2"/>
      </rPr>
      <t xml:space="preserve">: Converts everything to lowercase (e.g., "EXCEL" → "excel").
</t>
    </r>
    <r>
      <rPr>
        <b/>
        <sz val="10"/>
        <color theme="1"/>
        <rFont val="Arial"/>
        <family val="2"/>
      </rPr>
      <t>PROPER</t>
    </r>
    <r>
      <rPr>
        <sz val="10"/>
        <color theme="1"/>
        <rFont val="Arial"/>
        <family val="2"/>
      </rPr>
      <t xml:space="preserve">: Capitalizes only the first letter of every word.
Example: If A1 is "alice smith", =PROPER(A1) results in "Alice Smith".
4. </t>
    </r>
    <r>
      <rPr>
        <b/>
        <sz val="10"/>
        <color theme="1"/>
        <rFont val="Arial"/>
        <family val="2"/>
      </rPr>
      <t>TRIM</t>
    </r>
    <r>
      <rPr>
        <sz val="10"/>
        <color theme="1"/>
        <rFont val="Arial"/>
        <family val="2"/>
      </rPr>
      <t xml:space="preserve">
TRIM removes all extra spaces from a text string, leaving only single spaces between words. It is essential for cleaning data imported from other software.
Syntax: =TRIM(text)
Example: If A1 contains " New York ", the formula =TRIM(A1) results in "New York".
5. </t>
    </r>
    <r>
      <rPr>
        <b/>
        <sz val="10"/>
        <color theme="1"/>
        <rFont val="Arial"/>
        <family val="2"/>
      </rPr>
      <t>LEN</t>
    </r>
    <r>
      <rPr>
        <sz val="10"/>
        <color theme="1"/>
        <rFont val="Arial"/>
        <family val="2"/>
      </rPr>
      <t xml:space="preserve">
The LEN function counts the total number of characters in a text string, including spaces and punctuation.
Syntax: =LEN(text)
Example: If A1 contains "Hello World", the formula =LEN(A1) will return 11.</t>
    </r>
  </si>
  <si>
    <t>Question 4 : What is the use of Scenario Manager in decision making?</t>
  </si>
  <si>
    <r>
      <t xml:space="preserve">Ans:- The Scenario Manager is a "What-If Analysis" tool in Excel used to create, store, and switch between different sets of input values (scenarios) to see how they affect the final outcome of a model.
In decision-making, it acts as a strategic simulator that allows a user to prepare for multiple potential futures without needing to create multiple separate workbooks.
How it Aids Decision Making
1. </t>
    </r>
    <r>
      <rPr>
        <b/>
        <sz val="10"/>
        <color theme="1"/>
        <rFont val="Arial"/>
        <family val="2"/>
      </rPr>
      <t>Comparison of Best, Worst, and Most Likely Cases</t>
    </r>
    <r>
      <rPr>
        <sz val="10"/>
        <color theme="1"/>
        <rFont val="Arial"/>
        <family val="2"/>
      </rPr>
      <t xml:space="preserve">
Decision-makers often need to see the "Best Case" (high sales, low costs), "Worst Case" (low sales, high costs), and "Most Likely Case." Scenario Manager allows you to toggle between these three instantly to see how the bottom line (Profit) changes.
2. </t>
    </r>
    <r>
      <rPr>
        <b/>
        <sz val="10"/>
        <color theme="1"/>
        <rFont val="Arial"/>
        <family val="2"/>
      </rPr>
      <t>Risk Assessment</t>
    </r>
    <r>
      <rPr>
        <sz val="10"/>
        <color theme="1"/>
        <rFont val="Arial"/>
        <family val="2"/>
      </rPr>
      <t xml:space="preserve">
By creating a "Stress Test" scenario (for example, a 20% increase in raw material costs), managers can determine if the business remains profitable under pressure. This helps in deciding whether to move forward with a project or seek more favorable vendor terms.
3. </t>
    </r>
    <r>
      <rPr>
        <b/>
        <sz val="10"/>
        <color theme="1"/>
        <rFont val="Arial"/>
        <family val="2"/>
      </rPr>
      <t>Strategic Budgeting</t>
    </r>
    <r>
      <rPr>
        <sz val="10"/>
        <color theme="1"/>
        <rFont val="Arial"/>
        <family val="2"/>
      </rPr>
      <t xml:space="preserve">
When planning for the next year, a company can create scenarios based on different expansion strategies. One scenario might involve hiring 10 new employees, while another focuses on heavy marketing spend. Scenario Manager shows the financial impact of each strategy side-by-side.
4. </t>
    </r>
    <r>
      <rPr>
        <b/>
        <sz val="10"/>
        <color theme="1"/>
        <rFont val="Arial"/>
        <family val="2"/>
      </rPr>
      <t>Simplified Reporting (Scenario Summary)</t>
    </r>
    <r>
      <rPr>
        <sz val="10"/>
        <color theme="1"/>
        <rFont val="Arial"/>
        <family val="2"/>
      </rPr>
      <t xml:space="preserve">
One of the most powerful features is the Scenario Summary Report. It generates a new, clean sheet that lists all your scenarios and their resulting values (like Total Revenue or Net Profit) in a single table. This makes it easy to present different options to stakeholders or executives.
Example Scenario
Imagine you are planning a concert. You have three variables:
</t>
    </r>
    <r>
      <rPr>
        <b/>
        <sz val="10"/>
        <color theme="1"/>
        <rFont val="Arial"/>
        <family val="2"/>
      </rPr>
      <t xml:space="preserve">
Ticket Price
Number of Tickets Sold
Venue Rental Cost</t>
    </r>
    <r>
      <rPr>
        <sz val="10"/>
        <color theme="1"/>
        <rFont val="Arial"/>
        <family val="2"/>
      </rPr>
      <t xml:space="preserve">
With Scenario Manager, you can create a "Rainy Day" scenario where ticket sales are low and a "Sold Out" scenario where sales are at maximum. By looking at the Scenario Summary, you can decide on a ticket price that ensures you don't lose money even if the weather is bad.</t>
    </r>
  </si>
  <si>
    <t>Question 5 : Define the purpose of VLOOKUP and HLOOKUP. How are they different from XLOOKUP? Which among XLOOKUP and INDEX-MATCH is best while usage?</t>
  </si>
  <si>
    <r>
      <t xml:space="preserve">Ans:- 1. </t>
    </r>
    <r>
      <rPr>
        <b/>
        <sz val="10"/>
        <color theme="1"/>
        <rFont val="Arial"/>
        <family val="2"/>
      </rPr>
      <t>Purpose of VLOOKUP and HLOOKUP</t>
    </r>
    <r>
      <rPr>
        <sz val="10"/>
        <color theme="1"/>
        <rFont val="Arial"/>
        <family val="2"/>
      </rPr>
      <t xml:space="preserve">
Both VLOOKUP (Vertical Lookup) and HLOOKUP (Horizontal Lookup) are designed to find specific data in a table based on a "lookup value."
</t>
    </r>
    <r>
      <rPr>
        <b/>
        <sz val="10"/>
        <color theme="1"/>
        <rFont val="Arial"/>
        <family val="2"/>
      </rPr>
      <t>VLOOKUP</t>
    </r>
    <r>
      <rPr>
        <sz val="10"/>
        <color theme="1"/>
        <rFont val="Arial"/>
        <family val="2"/>
      </rPr>
      <t xml:space="preserve">: Searches for a value in the first column of a table and returns a value in the same row from a column you specify. It is used when your data is listed in columns (vertically).
</t>
    </r>
    <r>
      <rPr>
        <b/>
        <sz val="10"/>
        <color theme="1"/>
        <rFont val="Arial"/>
        <family val="2"/>
      </rPr>
      <t>HLOOKUP</t>
    </r>
    <r>
      <rPr>
        <sz val="10"/>
        <color theme="1"/>
        <rFont val="Arial"/>
        <family val="2"/>
      </rPr>
      <t>: Searches for a value in the top row of a table and returns a value in the same column from a row you specify. It is used when your data is listed in rows (horizontally).
2. How are they different from XLOOKUP?
XLOOKUP is the modern successor to both VLOOKUP and HLOOKUP. It solves several major limitations of the older functions:</t>
    </r>
  </si>
  <si>
    <t>Feature</t>
  </si>
  <si>
    <t>VLOOKUP / HLOOKUP</t>
  </si>
  <si>
    <t>XLOOKUP</t>
  </si>
  <si>
    <t>Lookup Direction</t>
  </si>
  <si>
    <t>Fixed (V=Vertical, H=Horizontal)</t>
  </si>
  <si>
    <t>Bi-directional (Works both ways)</t>
  </si>
  <si>
    <t>Return Column</t>
  </si>
  <si>
    <t>Can only look to the right</t>
  </si>
  <si>
    <t>Can look to the left or right</t>
  </si>
  <si>
    <t>Exact Match</t>
  </si>
  <si>
    <t>Requires FALSE as a 4th argument</t>
  </si>
  <si>
    <t>Defaults to exact match</t>
  </si>
  <si>
    <t>Column Insertion</t>
  </si>
  <si>
    <t>Formula breaks if you add a column</t>
  </si>
  <si>
    <t>Does not break (uses range references)</t>
  </si>
  <si>
    <t>Error Handling</t>
  </si>
  <si>
    <t>Needs IFERROR wrapped around it</t>
  </si>
  <si>
    <t>Has a built-in if_not_found argument</t>
  </si>
  <si>
    <r>
      <t>3.</t>
    </r>
    <r>
      <rPr>
        <b/>
        <sz val="10"/>
        <color theme="1"/>
        <rFont val="Arial"/>
        <family val="2"/>
      </rPr>
      <t xml:space="preserve"> XLOOKUP vs. INDEX-MATCH</t>
    </r>
    <r>
      <rPr>
        <sz val="10"/>
        <color theme="1"/>
        <rFont val="Arial"/>
        <family val="2"/>
      </rPr>
      <t>: Which is best?
This is a common debate among Excel power users. Both are superior to VLOOKUP, but they excel in different scenarios:
Use XLOOKUP when:
Speed &amp; Simplicity: It is much easier to write and read. You only need three arguments for a basic search.
Modern Collaboration: If your team uses Office 365 or Excel 2021+, XLOOKUP is the most efficient choice.
Use INDEX-MATCH when:
Compatibility: If your file will be opened by people using older versions of Excel (2019 or earlier), XLOOKUP will not work for them. INDEX-MATCH works in all versions.
Large Datasets: For extremely large spreadsheets (tens of thousands of rows), INDEX-MATCH can sometimes be faster because it only processes the specific columns needed, rather than the whole range.
Two-Way Lookups: INDEX-MATCH is very powerful for "Matrix" lookups (finding the intersection of a specific row AND a specific column).
Verdict: For 95% of daily tasks, XLOOKUP is the best choice because of its ease of use and "unbreakable" nature. However, INDEX-MATCH remains the "Gold Standard" for professional financial modelers who need maximum backward compatibility and complex matrix searching.</t>
    </r>
  </si>
  <si>
    <t>Question 6 : Create a dataset of 8 employees with joining dates. Use the dummy dataset to calculate their experience in years and months.</t>
  </si>
  <si>
    <t>Ans:- 1. The Dummy Dataset
Create a table with the following 8 employees and their joining dates:</t>
  </si>
  <si>
    <t>Employee ID</t>
  </si>
  <si>
    <t>Name</t>
  </si>
  <si>
    <t>Joining Date</t>
  </si>
  <si>
    <t>Today's Date</t>
  </si>
  <si>
    <t>Anand Kumar</t>
  </si>
  <si>
    <t>Vivek singh</t>
  </si>
  <si>
    <t>Chatan kumar</t>
  </si>
  <si>
    <t>Dinesh sinha</t>
  </si>
  <si>
    <t>Ekta singh</t>
  </si>
  <si>
    <t>Firoz Khan</t>
  </si>
  <si>
    <t>Gaurav Panday</t>
  </si>
  <si>
    <t>Hemank kumar</t>
  </si>
  <si>
    <r>
      <t xml:space="preserve">2. </t>
    </r>
    <r>
      <rPr>
        <b/>
        <sz val="10"/>
        <color theme="1"/>
        <rFont val="Arial"/>
        <family val="2"/>
      </rPr>
      <t>Calculating Experience (The Formulas)</t>
    </r>
    <r>
      <rPr>
        <sz val="10"/>
        <color theme="1"/>
        <rFont val="Arial"/>
        <family val="2"/>
      </rPr>
      <t xml:space="preserve">
Assuming your Joining Date is in cell C2 and Today's Date is in cell D2, use the following formulas:</t>
    </r>
  </si>
  <si>
    <t>A. Calculate Full Years
=DATEDIF(C2, D2, "y")
The "y" interval returns the number of complete years.
B. Calculate Remaining Months
=DATEDIF(C2, D2, "ym")
The "ym" interval returns the months remaining after the full years are subtracted.</t>
  </si>
  <si>
    <t>3. Combined Result (Years and Months)
To display the experience in a professional format (e.g., "8 Years, 2 Months"), use this combined formula:</t>
  </si>
  <si>
    <t>11 Years, 2 Months</t>
  </si>
  <si>
    <t>8 Years, 0 Months</t>
  </si>
  <si>
    <t>5 Years, 4 Months</t>
  </si>
  <si>
    <t>13 Years, 8 Months</t>
  </si>
  <si>
    <t>6 Years, 6 Months</t>
  </si>
  <si>
    <t>5 Years, 1 Months</t>
  </si>
  <si>
    <t>9 Years, 7 Months</t>
  </si>
  <si>
    <t>3 Years, 10 Months</t>
  </si>
  <si>
    <t>Question 7 : You are provided with a dataset containing details of 100 road accidents.Design a Road Accident Analysis Dashboard using Pivot Tables and Slicers in Excel.</t>
  </si>
  <si>
    <t>Ans:-</t>
  </si>
  <si>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</si>
  <si>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</si>
  <si>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</si>
  <si>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</si>
  <si>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</si>
  <si>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</si>
  <si>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</si>
  <si>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</si>
  <si>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</si>
  <si>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</si>
  <si>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</si>
  <si>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</si>
  <si>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</si>
  <si>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</si>
  <si>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</si>
  <si>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</si>
  <si>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</si>
  <si>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</si>
  <si>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</si>
  <si>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</si>
  <si>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</si>
  <si>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</si>
  <si>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</si>
  <si>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</si>
  <si>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</si>
  <si>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</si>
  <si>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</si>
  <si>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</si>
  <si>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</si>
  <si>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</si>
  <si>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</si>
  <si>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</si>
  <si>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</si>
  <si>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</si>
  <si>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</si>
  <si>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</si>
  <si>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</si>
  <si>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</si>
  <si>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</si>
  <si>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</si>
  <si>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</si>
  <si>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</si>
  <si>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</si>
  <si>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</si>
  <si>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</si>
  <si>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</si>
  <si>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</si>
  <si>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</si>
  <si>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</si>
  <si>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</si>
  <si>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</si>
  <si>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</si>
  <si>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</si>
  <si>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</si>
  <si>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</si>
  <si>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</si>
  <si>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</si>
  <si>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</si>
  <si>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</si>
  <si>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</si>
  <si>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</si>
  <si>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</si>
  <si>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</si>
  <si>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</si>
  <si>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</si>
  <si>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</si>
  <si>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</si>
  <si>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</si>
  <si>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</si>
  <si>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</si>
  <si>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</si>
  <si>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</si>
  <si>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</si>
  <si>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</si>
  <si>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</si>
  <si>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</si>
  <si>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</si>
  <si>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</si>
  <si>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</si>
  <si>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</si>
  <si>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</si>
  <si>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</si>
  <si>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</si>
  <si>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</si>
  <si>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</si>
  <si>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</si>
  <si>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</si>
  <si>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</si>
  <si>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</si>
  <si>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</si>
  <si>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</si>
  <si>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</si>
  <si>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</si>
  <si>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</si>
  <si>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</si>
  <si>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</si>
  <si>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</si>
  <si>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</si>
  <si>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</si>
  <si>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</si>
  <si>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</si>
  <si>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</si>
  <si>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</si>
  <si>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</si>
  <si>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</si>
  <si>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</si>
  <si>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</si>
  <si>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</si>
  <si>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</si>
  <si>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</si>
  <si>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</si>
  <si>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</si>
  <si>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</si>
  <si>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</si>
  <si>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</si>
  <si>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</si>
  <si>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</si>
  <si>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</si>
  <si>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</si>
  <si>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</si>
  <si>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</si>
  <si>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</si>
  <si>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</si>
  <si>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</si>
  <si>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</si>
  <si>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</si>
  <si>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</si>
  <si>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</si>
  <si>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</si>
  <si>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</si>
  <si>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</si>
  <si>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</si>
  <si>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</si>
  <si>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</si>
  <si>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</si>
  <si>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</si>
  <si>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</si>
  <si>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</si>
  <si>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</si>
  <si>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</si>
  <si>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</si>
  <si>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</si>
  <si>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</si>
  <si>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</si>
  <si>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</si>
  <si>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</si>
  <si>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</si>
  <si>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Question 8 : Create a table of 10 products with stock levels. Use Macros to highlight: 
● Low stock (less than 10 units) in red 
● Overstock (more than 50 units) in green</t>
  </si>
  <si>
    <r>
      <t xml:space="preserve">Ans:- Step 1: </t>
    </r>
    <r>
      <rPr>
        <b/>
        <sz val="10"/>
        <color theme="1"/>
        <rFont val="Arial"/>
        <family val="2"/>
      </rPr>
      <t>Create the Dataset</t>
    </r>
    <r>
      <rPr>
        <sz val="10"/>
        <color theme="1"/>
        <rFont val="Arial"/>
        <family val="2"/>
      </rPr>
      <t xml:space="preserve">
In a new Excel sheet, set up a table with 10 products and their current stock levels</t>
    </r>
  </si>
  <si>
    <t>Product ID</t>
  </si>
  <si>
    <t>Product Name</t>
  </si>
  <si>
    <t>Stock Level</t>
  </si>
  <si>
    <t>P01</t>
  </si>
  <si>
    <t>Laptop</t>
  </si>
  <si>
    <t>P02</t>
  </si>
  <si>
    <t>Mouse</t>
  </si>
  <si>
    <t>P03</t>
  </si>
  <si>
    <t>Keyboard</t>
  </si>
  <si>
    <t>P04</t>
  </si>
  <si>
    <t>Monitor</t>
  </si>
  <si>
    <t>P05</t>
  </si>
  <si>
    <t>Printer</t>
  </si>
  <si>
    <t>P06</t>
  </si>
  <si>
    <t>USB Cable</t>
  </si>
  <si>
    <t>P07</t>
  </si>
  <si>
    <t>Webcam</t>
  </si>
  <si>
    <t>P08</t>
  </si>
  <si>
    <t>Headphones</t>
  </si>
  <si>
    <t>P09</t>
  </si>
  <si>
    <t>Desk Lamp</t>
  </si>
  <si>
    <t>P10</t>
  </si>
  <si>
    <t>Hard Drive</t>
  </si>
  <si>
    <t>Row Labels</t>
  </si>
  <si>
    <t>Grand Total</t>
  </si>
  <si>
    <t>Sum of Casualties</t>
  </si>
  <si>
    <t xml:space="preserve">Ans:- </t>
  </si>
  <si>
    <t>Question 9 : You are given a dataset Create a drop-down list of product names in a separate cell using Data Validation, and write a formula in the adjacent cell so that when a product is selected from the drop-down, its corresponding price is automatically displayed.</t>
  </si>
  <si>
    <t>Order ID</t>
  </si>
  <si>
    <t>Customer Name</t>
  </si>
  <si>
    <t>Region</t>
  </si>
  <si>
    <t>Product Category</t>
  </si>
  <si>
    <t>Quantity</t>
  </si>
  <si>
    <t>Unit Price (?)</t>
  </si>
  <si>
    <t>Total Sales (?)</t>
  </si>
  <si>
    <t>Profit Margin (%)</t>
  </si>
  <si>
    <t>Customer Age</t>
  </si>
  <si>
    <t>Payment Mode</t>
  </si>
  <si>
    <t>Rahul Sharma</t>
  </si>
  <si>
    <t>North India</t>
  </si>
  <si>
    <t>Electronics</t>
  </si>
  <si>
    <t>Smartwatch</t>
  </si>
  <si>
    <t>Credit Card</t>
  </si>
  <si>
    <t>Amit Verma</t>
  </si>
  <si>
    <t>West India</t>
  </si>
  <si>
    <t>Home Decor</t>
  </si>
  <si>
    <t>Wall Clock</t>
  </si>
  <si>
    <t>COD</t>
  </si>
  <si>
    <t>Sneha Kapoor</t>
  </si>
  <si>
    <t>East India</t>
  </si>
  <si>
    <t>Bluetooth Speaker</t>
  </si>
  <si>
    <t>NetBanking</t>
  </si>
  <si>
    <t>Rajesh Kumar</t>
  </si>
  <si>
    <t>Fashion</t>
  </si>
  <si>
    <t>Jeans</t>
  </si>
  <si>
    <t>Priya Singh</t>
  </si>
  <si>
    <t>South India</t>
  </si>
  <si>
    <t>UPI</t>
  </si>
  <si>
    <t>Karan Malhotra</t>
  </si>
  <si>
    <t>Sofa Set</t>
  </si>
  <si>
    <t>Neha Gupta</t>
  </si>
  <si>
    <t>Dress</t>
  </si>
  <si>
    <t>Vikram Patel</t>
  </si>
  <si>
    <t>Smartphone</t>
  </si>
  <si>
    <t>Ayesha Kapoor</t>
  </si>
  <si>
    <t>Dining Table Set</t>
  </si>
  <si>
    <t>Amitabh Verma</t>
  </si>
  <si>
    <t>Leather Jacket</t>
  </si>
  <si>
    <t>Sneha Gupta</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</si>
  <si>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</si>
  <si>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</si>
  <si>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</si>
  <si>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</si>
  <si>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</si>
  <si>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</si>
  <si>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</si>
  <si>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</si>
  <si>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</si>
  <si>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</si>
  <si>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</si>
  <si>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</si>
  <si>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</si>
  <si>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</si>
  <si>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</si>
  <si>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</si>
  <si>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Pooja Nair</t>
  </si>
  <si>
    <t>Earbuds</t>
  </si>
  <si>
    <t>Manish Tiwari</t>
  </si>
  <si>
    <t>Formal Shirt</t>
  </si>
  <si>
    <t>Shreya Desai</t>
  </si>
  <si>
    <t>Coffee Table</t>
  </si>
  <si>
    <t>Kabir Joshi</t>
  </si>
  <si>
    <t>Air Conditioner</t>
  </si>
  <si>
    <t>Anita Yadav</t>
  </si>
  <si>
    <t>Running Shoes</t>
  </si>
  <si>
    <t>Vivek Chopra</t>
  </si>
  <si>
    <t>Tablet</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</si>
  <si>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</si>
  <si>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</si>
  <si>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</si>
  <si>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</si>
  <si>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</si>
  <si>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</si>
  <si>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</si>
  <si>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</si>
  <si>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</si>
  <si>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</si>
  <si>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</si>
  <si>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</si>
  <si>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</si>
  <si>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</si>
  <si>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</si>
  <si>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</si>
  <si>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</si>
  <si>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Router</t>
  </si>
  <si>
    <t>Anurag Verma</t>
  </si>
  <si>
    <t>Smart Bulb</t>
  </si>
  <si>
    <t>Ritika Shah</t>
  </si>
  <si>
    <t>Office Chair</t>
  </si>
  <si>
    <t>Tanmay Goel</t>
  </si>
  <si>
    <t>Blender</t>
  </si>
  <si>
    <t>Varun Singh</t>
  </si>
  <si>
    <t>Perfume</t>
  </si>
  <si>
    <t>Payal Mehta</t>
  </si>
  <si>
    <t>Power Bank</t>
  </si>
  <si>
    <t>Snehal Desai</t>
  </si>
  <si>
    <t>LED Bulb</t>
  </si>
  <si>
    <t>Ajay Patel</t>
  </si>
  <si>
    <t>Gym Gloves</t>
  </si>
  <si>
    <t>Kritika Gupta</t>
  </si>
  <si>
    <t>Wall Art</t>
  </si>
  <si>
    <t>Dinesh Nair</t>
  </si>
  <si>
    <t>Priyanka Rao</t>
  </si>
  <si>
    <t>Sunglasses</t>
  </si>
  <si>
    <t>Harsh Malhotra</t>
  </si>
  <si>
    <t>Speaker</t>
  </si>
  <si>
    <t>Lavanya Kapoor</t>
  </si>
  <si>
    <t>Trolley Bag</t>
  </si>
  <si>
    <t>Aniket Shah</t>
  </si>
  <si>
    <t>Curtains</t>
  </si>
  <si>
    <t>Niharika Joshi</t>
  </si>
  <si>
    <t>Induction Stove</t>
  </si>
  <si>
    <t>Ravi Sharma</t>
  </si>
  <si>
    <t>Travel Pillow</t>
  </si>
  <si>
    <t>Dataset</t>
  </si>
  <si>
    <t>Question 10:- You are a data analyst working for a retail firm. You’ve received a sales dataset that includes customer transactions from various regions and product categories. Your job is to analyze this data, clean inconsistencies, extract insights, and build visual reports.</t>
  </si>
  <si>
    <t>Task :</t>
  </si>
  <si>
    <t>1. Apply data validation in the Units Sold column to ensure only values between 1 and 20 are allowed</t>
  </si>
  <si>
    <t>2. Highlight rows where Profit &gt; ₹5000</t>
  </si>
  <si>
    <t>3. Highlight any phone number that is not exactly 10 digits</t>
  </si>
  <si>
    <t>4. Find the Revenue generated by each product and also label according to revenue generated as “High”, “Medium”, “Low”.</t>
  </si>
  <si>
    <t>5. Find the profit percentage up to two decimal places</t>
  </si>
  <si>
    <t>6. Show Total Revenue and Total Profit by Region</t>
  </si>
  <si>
    <t>7. Show Average Units Sold per Product Category.</t>
  </si>
  <si>
    <t>Customer ID</t>
  </si>
  <si>
    <t>Country</t>
  </si>
  <si>
    <t>State</t>
  </si>
  <si>
    <t>Phone Number</t>
  </si>
  <si>
    <t>Category</t>
  </si>
  <si>
    <t>Product</t>
  </si>
  <si>
    <t>Price</t>
  </si>
  <si>
    <t>Units Sold</t>
  </si>
  <si>
    <t>Profit</t>
  </si>
  <si>
    <t>Mode of Payment</t>
  </si>
  <si>
    <t>Revenue</t>
  </si>
  <si>
    <t>Revenue Label</t>
  </si>
  <si>
    <t>CUST1000</t>
  </si>
  <si>
    <t>West</t>
  </si>
  <si>
    <t>India</t>
  </si>
  <si>
    <t>Karnataka</t>
  </si>
  <si>
    <t>Clothing</t>
  </si>
  <si>
    <t>Shirt</t>
  </si>
  <si>
    <t>High</t>
  </si>
  <si>
    <t>CUST1001</t>
  </si>
  <si>
    <t>Furniture</t>
  </si>
  <si>
    <t>Table</t>
  </si>
  <si>
    <t>Net Banking</t>
  </si>
  <si>
    <t>CUST1002</t>
  </si>
  <si>
    <t>South</t>
  </si>
  <si>
    <t>West Bengal</t>
  </si>
  <si>
    <t>T-shirt</t>
  </si>
  <si>
    <t>Low</t>
  </si>
  <si>
    <t>CUST1003</t>
  </si>
  <si>
    <t>Sofa</t>
  </si>
  <si>
    <t>Cash</t>
  </si>
  <si>
    <t>Medium</t>
  </si>
  <si>
    <t>CUST1004</t>
  </si>
  <si>
    <t>CUST1005</t>
  </si>
  <si>
    <t>CUST1006</t>
  </si>
  <si>
    <t>East</t>
  </si>
  <si>
    <t>Tamil Nadu</t>
  </si>
  <si>
    <t>CUST1007</t>
  </si>
  <si>
    <t>Chair</t>
  </si>
  <si>
    <t>CUST1008</t>
  </si>
  <si>
    <t>Maharashtra</t>
  </si>
  <si>
    <t>CUST1009</t>
  </si>
  <si>
    <t>Gujarat</t>
  </si>
  <si>
    <t>CUST1010</t>
  </si>
  <si>
    <t>Rajasthan</t>
  </si>
  <si>
    <t>CUST1011</t>
  </si>
  <si>
    <t>CUST1012</t>
  </si>
  <si>
    <t>North</t>
  </si>
  <si>
    <t>CUST1013</t>
  </si>
  <si>
    <t>CUST1014</t>
  </si>
  <si>
    <t>CUST1015</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</si>
  <si>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</si>
  <si>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</si>
  <si>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</si>
  <si>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</si>
  <si>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</si>
  <si>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</si>
  <si>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</si>
  <si>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</si>
  <si>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</si>
  <si>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</si>
  <si>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</si>
  <si>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</si>
  <si>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</si>
  <si>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</si>
  <si>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</si>
  <si>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</si>
  <si>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</si>
  <si>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</si>
  <si>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</si>
  <si>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</si>
  <si>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</si>
  <si>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</si>
  <si>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</si>
  <si>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</si>
  <si>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</si>
  <si>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</si>
  <si>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</si>
  <si>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</si>
  <si>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</si>
  <si>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</si>
  <si>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</si>
  <si>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</si>
  <si>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</si>
  <si>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</si>
  <si>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</si>
  <si>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</si>
  <si>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</si>
  <si>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</si>
  <si>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</si>
  <si>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</si>
  <si>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</si>
  <si>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</si>
  <si>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</si>
  <si>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</si>
  <si>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</si>
  <si>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</si>
  <si>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</si>
  <si>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</si>
  <si>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</si>
  <si>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</si>
  <si>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</si>
  <si>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</si>
  <si>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</si>
  <si>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</si>
  <si>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</si>
  <si>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</si>
  <si>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</si>
  <si>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</si>
  <si>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</si>
  <si>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</si>
  <si>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</si>
  <si>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</si>
  <si>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</si>
  <si>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</si>
  <si>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</si>
  <si>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</si>
  <si>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</si>
  <si>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</si>
  <si>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</si>
  <si>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</si>
  <si>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</si>
  <si>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</si>
  <si>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</si>
  <si>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</si>
  <si>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</si>
  <si>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</si>
  <si>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</si>
  <si>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</si>
  <si>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</si>
  <si>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</si>
  <si>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</si>
  <si>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</si>
  <si>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</si>
  <si>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</si>
  <si>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</si>
  <si>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</si>
  <si>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</si>
  <si>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</si>
  <si>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 xml:space="preserve">Revenue generated </t>
  </si>
  <si>
    <t>Sum of Revenue</t>
  </si>
  <si>
    <t>Sum of Profit</t>
  </si>
  <si>
    <t>Average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</si>
</sst>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Arial"/>
      <family val="2"/>
    </font>
    <font>
      <b/>
      <sz val="10"/>
      <color theme="1"/>
      <name val="Arial"/>
      <family val="2"/>
    </font>
    <font>
      <sz val="10"/>
      <color rgb="FF1F1F1F"/>
      <name val="Google Sans Text"/>
    </font>
    <font>
      <b/>
      <sz val="10"/>
      <color rgb="FF1F1F1F"/>
      <name val="Google Sans Text"/>
    </font>
    <font>
      <sz val="10"/>
      <color rgb="FF444746"/>
      <name val="Google Sans Text"/>
    </font>
    <font>
      <sz val="11"/>
      <color rgb="FF9C0006"/>
      <name val="Calibri"/>
      <family val="2"/>
      <scheme val="minor"/>
    </font>
    <font>
      <sz val="11"/>
      <color rgb="FF9C5700"/>
      <name val="Calibri"/>
      <family val="2"/>
      <scheme val="minor"/>
    </font>
    <font>
      <b/>
      <sz val="11"/>
      <color theme="1"/>
      <name val="Calibri"/>
      <family val="2"/>
      <scheme val="minor"/>
    </font>
    <font>
      <sz val="14"/>
      <color theme="1"/>
      <name val="Arial"/>
      <family val="2"/>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rgb="FFFFC7CE"/>
        <bgColor rgb="FF000000"/>
      </patternFill>
    </fill>
    <fill>
      <patternFill patternType="solid">
        <fgColor rgb="FFFFEB9C"/>
        <bgColor rgb="FF000000"/>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45">
    <xf numFmtId="0" fontId="0" fillId="0" borderId="0" xfId="0"/>
    <xf numFmtId="0" fontId="1" fillId="0" borderId="1" xfId="0" applyFont="1" applyBorder="1" applyAlignment="1">
      <alignment vertical="center"/>
    </xf>
    <xf numFmtId="0" fontId="1"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1" fillId="0" borderId="2" xfId="0" applyFont="1" applyBorder="1" applyAlignment="1">
      <alignment vertical="center"/>
    </xf>
    <xf numFmtId="0" fontId="1"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0" borderId="3" xfId="0" applyFont="1" applyBorder="1" applyAlignment="1">
      <alignment horizontal="right" wrapText="1"/>
    </xf>
    <xf numFmtId="15" fontId="3" fillId="0" borderId="4" xfId="0" applyNumberFormat="1" applyFont="1" applyBorder="1" applyAlignment="1">
      <alignment horizontal="right" wrapText="1"/>
    </xf>
    <xf numFmtId="14" fontId="5" fillId="0" borderId="4" xfId="0" applyNumberFormat="1" applyFont="1" applyBorder="1" applyAlignment="1">
      <alignment horizontal="right" wrapText="1"/>
    </xf>
    <xf numFmtId="0" fontId="1" fillId="0" borderId="3"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14" fontId="1" fillId="0" borderId="4" xfId="0" applyNumberFormat="1" applyFont="1" applyBorder="1" applyAlignment="1">
      <alignment horizontal="right" wrapText="1"/>
    </xf>
    <xf numFmtId="0" fontId="1" fillId="0" borderId="4" xfId="0" applyFont="1" applyBorder="1" applyAlignment="1">
      <alignment wrapText="1"/>
    </xf>
    <xf numFmtId="0" fontId="1" fillId="0" borderId="4" xfId="0" applyFont="1" applyBorder="1" applyAlignment="1">
      <alignment horizontal="right" wrapText="1"/>
    </xf>
    <xf numFmtId="0" fontId="4" fillId="0" borderId="3" xfId="0" applyFont="1" applyBorder="1" applyAlignment="1">
      <alignment wrapText="1"/>
    </xf>
    <xf numFmtId="0" fontId="4" fillId="0" borderId="4" xfId="0" applyFont="1" applyBorder="1" applyAlignment="1">
      <alignment wrapText="1"/>
    </xf>
    <xf numFmtId="0" fontId="3" fillId="0" borderId="4" xfId="0" applyFont="1" applyBorder="1" applyAlignment="1">
      <alignment horizontal="right" wrapText="1"/>
    </xf>
    <xf numFmtId="0" fontId="0" fillId="0" borderId="0" xfId="0" pivotButton="1"/>
    <xf numFmtId="0" fontId="0" fillId="0" borderId="0" xfId="0" applyAlignment="1">
      <alignment horizontal="left"/>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0" xfId="0" applyFont="1" applyBorder="1" applyAlignment="1">
      <alignment wrapText="1"/>
    </xf>
    <xf numFmtId="0" fontId="1" fillId="0" borderId="8" xfId="0" applyFont="1" applyBorder="1" applyAlignment="1">
      <alignment wrapText="1"/>
    </xf>
    <xf numFmtId="0" fontId="1" fillId="0" borderId="0" xfId="0" applyFont="1" applyBorder="1" applyAlignment="1">
      <alignment wrapText="1"/>
    </xf>
    <xf numFmtId="0" fontId="8" fillId="0" borderId="9" xfId="0" applyFont="1" applyBorder="1" applyAlignment="1">
      <alignment horizontal="center" vertical="top" wrapText="1"/>
    </xf>
    <xf numFmtId="0" fontId="8" fillId="0" borderId="10" xfId="0" applyFont="1" applyBorder="1" applyAlignment="1">
      <alignment horizontal="center" vertical="top" wrapText="1"/>
    </xf>
    <xf numFmtId="0" fontId="0" fillId="0" borderId="1" xfId="0" applyBorder="1" applyAlignment="1">
      <alignment horizontal="right" wrapText="1"/>
    </xf>
    <xf numFmtId="14" fontId="0" fillId="0" borderId="1" xfId="0" applyNumberFormat="1" applyBorder="1" applyAlignment="1">
      <alignment wrapText="1"/>
    </xf>
    <xf numFmtId="0" fontId="0" fillId="0" borderId="1" xfId="0" applyBorder="1" applyAlignment="1">
      <alignment wrapText="1"/>
    </xf>
    <xf numFmtId="0" fontId="9" fillId="0" borderId="8" xfId="0" applyFont="1" applyBorder="1" applyAlignment="1">
      <alignment wrapText="1"/>
    </xf>
    <xf numFmtId="0" fontId="9" fillId="0" borderId="0" xfId="0" applyFont="1" applyBorder="1" applyAlignment="1">
      <alignment wrapText="1"/>
    </xf>
    <xf numFmtId="0" fontId="10" fillId="0" borderId="0" xfId="0" applyFont="1"/>
    <xf numFmtId="0" fontId="11" fillId="0" borderId="0" xfId="0" applyFont="1"/>
    <xf numFmtId="0" fontId="11" fillId="0" borderId="0" xfId="0" applyFont="1" applyAlignment="1">
      <alignment wrapText="1"/>
    </xf>
    <xf numFmtId="0" fontId="6" fillId="2" borderId="0" xfId="0" applyFont="1" applyFill="1"/>
    <xf numFmtId="0" fontId="7" fillId="3" borderId="0" xfId="0" applyFont="1" applyFill="1"/>
    <xf numFmtId="0" fontId="2" fillId="0" borderId="1" xfId="0" applyFont="1" applyBorder="1" applyAlignment="1">
      <alignment wrapText="1"/>
    </xf>
    <xf numFmtId="0" fontId="10" fillId="0" borderId="0" xfId="0" applyFont="1" applyFill="1" applyBorder="1"/>
    <xf numFmtId="10" fontId="0" fillId="0" borderId="0" xfId="0" applyNumberFormat="1"/>
    <xf numFmtId="0" fontId="0" fillId="0" borderId="0" xfId="0" applyNumberFormat="1"/>
  </cellXfs>
  <cellStyles count="1">
    <cellStyle name="Normal" xfId="0" builtinId="0"/>
  </cellStyles>
  <dxfs count="46">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0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theme="9"/>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patternFill>
      </fill>
    </dxf>
    <dxf>
      <fill>
        <patternFill>
          <bgColor theme="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refreshedDate="46116.641417013889" createdVersion="8" refreshedVersion="8" minRefreshableVersion="3" recordCount="100" xr:uid="{D5C047BF-8100-42DB-A05D-725FA4522CFE}">
  <cacheSource type="worksheet">
    <worksheetSource ref="A48:J148" sheet="Sheet1"/>
  </cacheSource>
  <cacheFields count="10">
    <cacheField name="Accident ID" numFmtId="0">
      <sharedItems count="100">
        <s v="AID0001"/>
        <s v="AID0002"/>
        <s v="AID0003"/>
        <s v="AID0004"/>
        <s v="AID0005"/>
        <s v="AID0006"/>
        <s v="AID0007"/>
        <s v="AID0008"/>
        <s v="AID0009"/>
        <s v="AID0010"/>
        <s v="AID0011"/>
        <s v="AID0012"/>
        <s v="AID0013"/>
        <s v="AID0014"/>
        <s v="AID0015"/>
        <s v="AID0016"/>
        <s v="AID0017"/>
        <s v="AID0018"/>
        <s v="AID0019"/>
        <s v="AID0020"/>
        <s v="AID0021"/>
        <s v="AID0022"/>
        <s v="AID0023"/>
        <s v="AID0024"/>
        <s v="AID0025"/>
        <s v="AID0026"/>
        <s v="AID0027"/>
        <s v="AID0028"/>
        <s v="AID0029"/>
        <s v="AID0030"/>
        <s v="AID0031"/>
        <s v="AID0032"/>
        <s v="AID0033"/>
        <s v="AID0034"/>
        <s v="AID0035"/>
        <s v="AID0036"/>
        <s v="AID0037"/>
        <s v="AID0038"/>
        <s v="AID0039"/>
        <s v="AID0040"/>
        <s v="AID0041"/>
        <s v="AID0042"/>
        <s v="AID0043"/>
        <s v="AID0044"/>
        <s v="AID0045"/>
        <s v="AID0046"/>
        <s v="AID0047"/>
        <s v="AID0048"/>
        <s v="AID0049"/>
        <s v="AID0050"/>
        <s v="AID0051"/>
        <s v="AID0052"/>
        <s v="AID0053"/>
        <s v="AID0054"/>
        <s v="AID0055"/>
        <s v="AID0056"/>
        <s v="AID0057"/>
        <s v="AID0058"/>
        <s v="AID0059"/>
        <s v="AID0060"/>
        <s v="AID0061"/>
        <s v="AID0062"/>
        <s v="AID0063"/>
        <s v="AID0064"/>
        <s v="AID0065"/>
        <s v="AID0066"/>
        <s v="AID0067"/>
        <s v="AID0068"/>
        <s v="AID0069"/>
        <s v="AID0070"/>
        <s v="AID0071"/>
        <s v="AID0072"/>
        <s v="AID0073"/>
        <s v="AID0074"/>
        <s v="AID0075"/>
        <s v="AID0076"/>
        <s v="AID0077"/>
        <s v="AID0078"/>
        <s v="AID0079"/>
        <s v="AID0080"/>
        <s v="AID0081"/>
        <s v="AID0082"/>
        <s v="AID0083"/>
        <s v="AID0084"/>
        <s v="AID0085"/>
        <s v="AID0086"/>
        <s v="AID0087"/>
        <s v="AID0088"/>
        <s v="AID0089"/>
        <s v="AID0090"/>
        <s v="AID0091"/>
        <s v="AID0092"/>
        <s v="AID0093"/>
        <s v="AID0094"/>
        <s v="AID0095"/>
        <s v="AID0096"/>
        <s v="AID0097"/>
        <s v="AID0098"/>
        <s v="AID0099"/>
        <s v="AID0100"/>
      </sharedItems>
    </cacheField>
    <cacheField name="Date" numFmtId="14">
      <sharedItems containsSemiMixedTypes="0" containsNonDate="0" containsDate="1" containsString="0" minDate="2024-01-01T00:00:00" maxDate="2024-06-27T00:00:00"/>
    </cacheField>
    <cacheField name="Location" numFmtId="0">
      <sharedItems/>
    </cacheField>
    <cacheField name="Accident Type" numFmtId="0">
      <sharedItems/>
    </cacheField>
    <cacheField name="Vehicle Type" numFmtId="0">
      <sharedItems/>
    </cacheField>
    <cacheField name="Weather Condition" numFmtId="0">
      <sharedItems count="4">
        <s v="Clear"/>
        <s v="Foggy"/>
        <s v="Windy"/>
        <s v="Rainy"/>
      </sharedItems>
    </cacheField>
    <cacheField name="Road Condition" numFmtId="0">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refreshedDate="46120.587320370367" createdVersion="8" refreshedVersion="8" minRefreshableVersion="3" recordCount="100" xr:uid="{2CD6F70F-3E15-48BE-BFEA-F542A0AD1A08}">
  <cacheSource type="worksheet">
    <worksheetSource ref="A230:O330" sheet="Sheet1"/>
  </cacheSource>
  <cacheFields count="15">
    <cacheField name="Customer ID" numFmtId="0">
      <sharedItems/>
    </cacheField>
    <cacheField name="Region" numFmtId="0">
      <sharedItems count="4">
        <s v="West"/>
        <s v="South"/>
        <s v="East"/>
        <s v="North"/>
      </sharedItems>
    </cacheField>
    <cacheField name="Country" numFmtId="0">
      <sharedItems/>
    </cacheField>
    <cacheField name="State" numFmtId="0">
      <sharedItems/>
    </cacheField>
    <cacheField name="Phone Number" numFmtId="0">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acheField>
    <cacheField name="Profit" numFmtId="0">
      <sharedItems containsSemiMixedTypes="0" containsString="0" containsNumber="1" minValue="163.57" maxValue="11123.31"/>
    </cacheField>
    <cacheField name="Mode of Payment" numFmtId="0">
      <sharedItems/>
    </cacheField>
    <cacheField name="Revenue" numFmtId="0">
      <sharedItems containsSemiMixedTypes="0" containsString="0" containsNumber="1" minValue="1248.54" maxValue="42729.15"/>
    </cacheField>
    <cacheField name="Revenue Label" numFmtId="0">
      <sharedItems/>
    </cacheField>
    <cacheField name="Revenue generated " numFmtId="0">
      <sharedItems/>
    </cacheField>
    <cacheField name="Profit2" numFmtId="10">
      <sharedItems containsSemiMixedTypes="0" containsString="0" containsNumber="1" minValue="0.10260379537094977" maxValue="0.299791765825797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4-01-01T00:00:00"/>
    <s v="Hyderabad"/>
    <s v="Overturn"/>
    <s v="Auto-Rickshaw"/>
    <x v="0"/>
    <s v="Dry"/>
    <x v="0"/>
    <x v="0"/>
    <n v="0"/>
  </r>
  <r>
    <x v="1"/>
    <d v="2024-03-29T00:00:00"/>
    <s v="Mumbai"/>
    <s v="Overturn"/>
    <s v="Auto-Rickshaw"/>
    <x v="1"/>
    <s v="Damaged"/>
    <x v="0"/>
    <x v="1"/>
    <n v="0"/>
  </r>
  <r>
    <x v="2"/>
    <d v="2024-01-05T00:00:00"/>
    <s v="Mumbai"/>
    <s v="Overturn"/>
    <s v="Bicycle"/>
    <x v="2"/>
    <s v="Under Construction"/>
    <x v="1"/>
    <x v="0"/>
    <n v="3"/>
  </r>
  <r>
    <x v="3"/>
    <d v="2024-06-02T00:00:00"/>
    <s v="Pune"/>
    <s v="Collision"/>
    <s v="Truck"/>
    <x v="0"/>
    <s v="Dry"/>
    <x v="1"/>
    <x v="2"/>
    <n v="4"/>
  </r>
  <r>
    <x v="4"/>
    <d v="2024-02-28T00:00:00"/>
    <s v="Bangalore"/>
    <s v="Animal Hit"/>
    <s v="Auto-Rickshaw"/>
    <x v="0"/>
    <s v="Damaged"/>
    <x v="0"/>
    <x v="3"/>
    <n v="0"/>
  </r>
  <r>
    <x v="5"/>
    <d v="2024-04-17T00:00:00"/>
    <s v="Bangalore"/>
    <s v="Animal Hit"/>
    <s v="Car"/>
    <x v="3"/>
    <s v="Damaged"/>
    <x v="2"/>
    <x v="4"/>
    <n v="4"/>
  </r>
  <r>
    <x v="6"/>
    <d v="2024-02-16T00:00:00"/>
    <s v="Delhi"/>
    <s v="Animal Hit"/>
    <s v="Car"/>
    <x v="3"/>
    <s v="Dry"/>
    <x v="2"/>
    <x v="5"/>
    <n v="2"/>
  </r>
  <r>
    <x v="7"/>
    <d v="2024-03-18T00:00:00"/>
    <s v="Hyderabad"/>
    <s v="Overturn"/>
    <s v="Car"/>
    <x v="1"/>
    <s v="Wet"/>
    <x v="0"/>
    <x v="5"/>
    <n v="5"/>
  </r>
  <r>
    <x v="8"/>
    <d v="2024-05-13T00:00:00"/>
    <s v="Mumbai"/>
    <s v="Collision"/>
    <s v="Car"/>
    <x v="2"/>
    <s v="Under Construction"/>
    <x v="2"/>
    <x v="3"/>
    <n v="2"/>
  </r>
  <r>
    <x v="9"/>
    <d v="2024-01-16T00:00:00"/>
    <s v="Ahmedabad"/>
    <s v="Collision"/>
    <s v="Motorcycle"/>
    <x v="0"/>
    <s v="Under Construction"/>
    <x v="3"/>
    <x v="5"/>
    <n v="5"/>
  </r>
  <r>
    <x v="10"/>
    <d v="2024-01-08T00:00:00"/>
    <s v="Pune"/>
    <s v="Object Hit"/>
    <s v="Auto-Rickshaw"/>
    <x v="0"/>
    <s v="Damaged"/>
    <x v="1"/>
    <x v="0"/>
    <n v="0"/>
  </r>
  <r>
    <x v="11"/>
    <d v="2024-06-25T00:00:00"/>
    <s v="Ahmedabad"/>
    <s v="Pedestrian Hit"/>
    <s v="Car"/>
    <x v="0"/>
    <s v="Under Construction"/>
    <x v="3"/>
    <x v="0"/>
    <n v="3"/>
  </r>
  <r>
    <x v="12"/>
    <d v="2024-03-29T00:00:00"/>
    <s v="Bangalore"/>
    <s v="Pedestrian Hit"/>
    <s v="Bicycle"/>
    <x v="3"/>
    <s v="Wet"/>
    <x v="3"/>
    <x v="5"/>
    <n v="1"/>
  </r>
  <r>
    <x v="13"/>
    <d v="2024-04-02T00:00:00"/>
    <s v="Chennai"/>
    <s v="Overturn"/>
    <s v="Bus"/>
    <x v="1"/>
    <s v="Dry"/>
    <x v="3"/>
    <x v="4"/>
    <n v="2"/>
  </r>
  <r>
    <x v="14"/>
    <d v="2024-03-27T00:00:00"/>
    <s v="Chennai"/>
    <s v="Pedestrian Hit"/>
    <s v="Motorcycle"/>
    <x v="1"/>
    <s v="Under Construction"/>
    <x v="0"/>
    <x v="2"/>
    <n v="1"/>
  </r>
  <r>
    <x v="15"/>
    <d v="2024-05-19T00:00:00"/>
    <s v="Chennai"/>
    <s v="Overturn"/>
    <s v="Truck"/>
    <x v="1"/>
    <s v="Damaged"/>
    <x v="3"/>
    <x v="1"/>
    <n v="5"/>
  </r>
  <r>
    <x v="16"/>
    <d v="2024-03-03T00:00:00"/>
    <s v="Hyderabad"/>
    <s v="Collision"/>
    <s v="Motorcycle"/>
    <x v="2"/>
    <s v="Under Construction"/>
    <x v="0"/>
    <x v="1"/>
    <n v="4"/>
  </r>
  <r>
    <x v="17"/>
    <d v="2024-03-08T00:00:00"/>
    <s v="Kolkata"/>
    <s v="Overturn"/>
    <s v="Car"/>
    <x v="2"/>
    <s v="Under Construction"/>
    <x v="0"/>
    <x v="2"/>
    <n v="3"/>
  </r>
  <r>
    <x v="18"/>
    <d v="2024-06-26T00:00:00"/>
    <s v="Delhi"/>
    <s v="Overturn"/>
    <s v="Motorcycle"/>
    <x v="3"/>
    <s v="Wet"/>
    <x v="3"/>
    <x v="4"/>
    <n v="4"/>
  </r>
  <r>
    <x v="19"/>
    <d v="2024-01-26T00:00:00"/>
    <s v="Delhi"/>
    <s v="Collision"/>
    <s v="Bicycle"/>
    <x v="3"/>
    <s v="Damaged"/>
    <x v="0"/>
    <x v="2"/>
    <n v="5"/>
  </r>
  <r>
    <x v="20"/>
    <d v="2024-02-05T00:00:00"/>
    <s v="Pune"/>
    <s v="Animal Hit"/>
    <s v="Motorcycle"/>
    <x v="2"/>
    <s v="Damaged"/>
    <x v="2"/>
    <x v="1"/>
    <n v="5"/>
  </r>
  <r>
    <x v="21"/>
    <d v="2024-06-07T00:00:00"/>
    <s v="Hyderabad"/>
    <s v="Object Hit"/>
    <s v="Truck"/>
    <x v="1"/>
    <s v="Under Construction"/>
    <x v="1"/>
    <x v="3"/>
    <n v="4"/>
  </r>
  <r>
    <x v="22"/>
    <d v="2024-03-27T00:00:00"/>
    <s v="Chennai"/>
    <s v="Collision"/>
    <s v="Bicycle"/>
    <x v="3"/>
    <s v="Under Construction"/>
    <x v="3"/>
    <x v="3"/>
    <n v="4"/>
  </r>
  <r>
    <x v="23"/>
    <d v="2024-02-24T00:00:00"/>
    <s v="Mumbai"/>
    <s v="Object Hit"/>
    <s v="Truck"/>
    <x v="3"/>
    <s v="Dry"/>
    <x v="0"/>
    <x v="0"/>
    <n v="0"/>
  </r>
  <r>
    <x v="24"/>
    <d v="2024-06-04T00:00:00"/>
    <s v="Delhi"/>
    <s v="Animal Hit"/>
    <s v="Motorcycle"/>
    <x v="3"/>
    <s v="Damaged"/>
    <x v="1"/>
    <x v="4"/>
    <n v="1"/>
  </r>
  <r>
    <x v="25"/>
    <d v="2024-05-30T00:00:00"/>
    <s v="Pune"/>
    <s v="Collision"/>
    <s v="Bus"/>
    <x v="0"/>
    <s v="Damaged"/>
    <x v="0"/>
    <x v="3"/>
    <n v="0"/>
  </r>
  <r>
    <x v="26"/>
    <d v="2024-04-04T00:00:00"/>
    <s v="Hyderabad"/>
    <s v="Pedestrian Hit"/>
    <s v="Car"/>
    <x v="2"/>
    <s v="Wet"/>
    <x v="1"/>
    <x v="0"/>
    <n v="0"/>
  </r>
  <r>
    <x v="27"/>
    <d v="2024-05-10T00:00:00"/>
    <s v="Hyderabad"/>
    <s v="Overturn"/>
    <s v="Bicycle"/>
    <x v="1"/>
    <s v="Dry"/>
    <x v="3"/>
    <x v="2"/>
    <n v="4"/>
  </r>
  <r>
    <x v="28"/>
    <d v="2024-03-02T00:00:00"/>
    <s v="Chennai"/>
    <s v="Animal Hit"/>
    <s v="Auto-Rickshaw"/>
    <x v="3"/>
    <s v="Damaged"/>
    <x v="3"/>
    <x v="3"/>
    <n v="4"/>
  </r>
  <r>
    <x v="29"/>
    <d v="2024-04-16T00:00:00"/>
    <s v="Pune"/>
    <s v="Pedestrian Hit"/>
    <s v="Car"/>
    <x v="1"/>
    <s v="Under Construction"/>
    <x v="3"/>
    <x v="1"/>
    <n v="0"/>
  </r>
  <r>
    <x v="30"/>
    <d v="2024-06-09T00:00:00"/>
    <s v="Kolkata"/>
    <s v="Object Hit"/>
    <s v="Motorcycle"/>
    <x v="3"/>
    <s v="Wet"/>
    <x v="3"/>
    <x v="0"/>
    <n v="5"/>
  </r>
  <r>
    <x v="31"/>
    <d v="2024-02-25T00:00:00"/>
    <s v="Chennai"/>
    <s v="Pedestrian Hit"/>
    <s v="Auto-Rickshaw"/>
    <x v="3"/>
    <s v="Damaged"/>
    <x v="1"/>
    <x v="4"/>
    <n v="2"/>
  </r>
  <r>
    <x v="32"/>
    <d v="2024-06-24T00:00:00"/>
    <s v="Pune"/>
    <s v="Object Hit"/>
    <s v="Auto-Rickshaw"/>
    <x v="2"/>
    <s v="Damaged"/>
    <x v="1"/>
    <x v="1"/>
    <n v="1"/>
  </r>
  <r>
    <x v="33"/>
    <d v="2024-04-21T00:00:00"/>
    <s v="Kolkata"/>
    <s v="Animal Hit"/>
    <s v="Bicycle"/>
    <x v="0"/>
    <s v="Under Construction"/>
    <x v="2"/>
    <x v="4"/>
    <n v="1"/>
  </r>
  <r>
    <x v="34"/>
    <d v="2024-01-02T00:00:00"/>
    <s v="Mumbai"/>
    <s v="Overturn"/>
    <s v="Truck"/>
    <x v="0"/>
    <s v="Wet"/>
    <x v="3"/>
    <x v="5"/>
    <n v="3"/>
  </r>
  <r>
    <x v="35"/>
    <d v="2024-05-24T00:00:00"/>
    <s v="Kolkata"/>
    <s v="Animal Hit"/>
    <s v="Auto-Rickshaw"/>
    <x v="0"/>
    <s v="Wet"/>
    <x v="0"/>
    <x v="1"/>
    <n v="4"/>
  </r>
  <r>
    <x v="36"/>
    <d v="2024-01-26T00:00:00"/>
    <s v="Ahmedabad"/>
    <s v="Object Hit"/>
    <s v="Motorcycle"/>
    <x v="0"/>
    <s v="Under Construction"/>
    <x v="2"/>
    <x v="0"/>
    <n v="5"/>
  </r>
  <r>
    <x v="37"/>
    <d v="2024-01-23T00:00:00"/>
    <s v="Bangalore"/>
    <s v="Overturn"/>
    <s v="Auto-Rickshaw"/>
    <x v="2"/>
    <s v="Under Construction"/>
    <x v="3"/>
    <x v="5"/>
    <n v="0"/>
  </r>
  <r>
    <x v="38"/>
    <d v="2024-04-26T00:00:00"/>
    <s v="Pune"/>
    <s v="Animal Hit"/>
    <s v="Car"/>
    <x v="1"/>
    <s v="Under Construction"/>
    <x v="1"/>
    <x v="5"/>
    <n v="2"/>
  </r>
  <r>
    <x v="39"/>
    <d v="2024-03-14T00:00:00"/>
    <s v="Hyderabad"/>
    <s v="Overturn"/>
    <s v="Auto-Rickshaw"/>
    <x v="3"/>
    <s v="Damaged"/>
    <x v="1"/>
    <x v="3"/>
    <n v="1"/>
  </r>
  <r>
    <x v="40"/>
    <d v="2024-01-10T00:00:00"/>
    <s v="Hyderabad"/>
    <s v="Animal Hit"/>
    <s v="Auto-Rickshaw"/>
    <x v="0"/>
    <s v="Wet"/>
    <x v="2"/>
    <x v="2"/>
    <n v="4"/>
  </r>
  <r>
    <x v="41"/>
    <d v="2024-04-28T00:00:00"/>
    <s v="Mumbai"/>
    <s v="Collision"/>
    <s v="Car"/>
    <x v="1"/>
    <s v="Under Construction"/>
    <x v="2"/>
    <x v="5"/>
    <n v="2"/>
  </r>
  <r>
    <x v="42"/>
    <d v="2024-01-23T00:00:00"/>
    <s v="Bangalore"/>
    <s v="Overturn"/>
    <s v="Bicycle"/>
    <x v="2"/>
    <s v="Under Construction"/>
    <x v="2"/>
    <x v="2"/>
    <n v="2"/>
  </r>
  <r>
    <x v="43"/>
    <d v="2024-03-19T00:00:00"/>
    <s v="Hyderabad"/>
    <s v="Animal Hit"/>
    <s v="Car"/>
    <x v="2"/>
    <s v="Wet"/>
    <x v="1"/>
    <x v="3"/>
    <n v="4"/>
  </r>
  <r>
    <x v="44"/>
    <d v="2024-03-20T00:00:00"/>
    <s v="Hyderabad"/>
    <s v="Overturn"/>
    <s v="Bus"/>
    <x v="0"/>
    <s v="Wet"/>
    <x v="3"/>
    <x v="2"/>
    <n v="3"/>
  </r>
  <r>
    <x v="45"/>
    <d v="2024-05-05T00:00:00"/>
    <s v="Mumbai"/>
    <s v="Animal Hit"/>
    <s v="Motorcycle"/>
    <x v="3"/>
    <s v="Dry"/>
    <x v="2"/>
    <x v="5"/>
    <n v="0"/>
  </r>
  <r>
    <x v="46"/>
    <d v="2024-04-20T00:00:00"/>
    <s v="Hyderabad"/>
    <s v="Overturn"/>
    <s v="Car"/>
    <x v="1"/>
    <s v="Dry"/>
    <x v="3"/>
    <x v="0"/>
    <n v="1"/>
  </r>
  <r>
    <x v="47"/>
    <d v="2024-06-23T00:00:00"/>
    <s v="Chennai"/>
    <s v="Animal Hit"/>
    <s v="Motorcycle"/>
    <x v="3"/>
    <s v="Wet"/>
    <x v="1"/>
    <x v="4"/>
    <n v="0"/>
  </r>
  <r>
    <x v="48"/>
    <d v="2024-03-18T00:00:00"/>
    <s v="Kolkata"/>
    <s v="Collision"/>
    <s v="Motorcycle"/>
    <x v="0"/>
    <s v="Dry"/>
    <x v="0"/>
    <x v="3"/>
    <n v="5"/>
  </r>
  <r>
    <x v="49"/>
    <d v="2024-05-24T00:00:00"/>
    <s v="Bangalore"/>
    <s v="Pedestrian Hit"/>
    <s v="Truck"/>
    <x v="1"/>
    <s v="Damaged"/>
    <x v="2"/>
    <x v="5"/>
    <n v="2"/>
  </r>
  <r>
    <x v="50"/>
    <d v="2024-04-01T00:00:00"/>
    <s v="Ahmedabad"/>
    <s v="Collision"/>
    <s v="Bicycle"/>
    <x v="2"/>
    <s v="Dry"/>
    <x v="0"/>
    <x v="4"/>
    <n v="0"/>
  </r>
  <r>
    <x v="51"/>
    <d v="2024-02-25T00:00:00"/>
    <s v="Delhi"/>
    <s v="Animal Hit"/>
    <s v="Truck"/>
    <x v="1"/>
    <s v="Damaged"/>
    <x v="3"/>
    <x v="3"/>
    <n v="2"/>
  </r>
  <r>
    <x v="52"/>
    <d v="2024-01-20T00:00:00"/>
    <s v="Kolkata"/>
    <s v="Pedestrian Hit"/>
    <s v="Car"/>
    <x v="2"/>
    <s v="Under Construction"/>
    <x v="0"/>
    <x v="4"/>
    <n v="3"/>
  </r>
  <r>
    <x v="53"/>
    <d v="2024-02-23T00:00:00"/>
    <s v="Hyderabad"/>
    <s v="Animal Hit"/>
    <s v="Truck"/>
    <x v="2"/>
    <s v="Dry"/>
    <x v="3"/>
    <x v="4"/>
    <n v="5"/>
  </r>
  <r>
    <x v="54"/>
    <d v="2024-05-21T00:00:00"/>
    <s v="Hyderabad"/>
    <s v="Overturn"/>
    <s v="Auto-Rickshaw"/>
    <x v="0"/>
    <s v="Damaged"/>
    <x v="0"/>
    <x v="2"/>
    <n v="4"/>
  </r>
  <r>
    <x v="55"/>
    <d v="2024-03-23T00:00:00"/>
    <s v="Bangalore"/>
    <s v="Overturn"/>
    <s v="Bus"/>
    <x v="1"/>
    <s v="Under Construction"/>
    <x v="0"/>
    <x v="4"/>
    <n v="3"/>
  </r>
  <r>
    <x v="56"/>
    <d v="2024-05-21T00:00:00"/>
    <s v="Bangalore"/>
    <s v="Overturn"/>
    <s v="Bus"/>
    <x v="2"/>
    <s v="Under Construction"/>
    <x v="2"/>
    <x v="5"/>
    <n v="5"/>
  </r>
  <r>
    <x v="57"/>
    <d v="2024-03-16T00:00:00"/>
    <s v="Hyderabad"/>
    <s v="Collision"/>
    <s v="Auto-Rickshaw"/>
    <x v="1"/>
    <s v="Wet"/>
    <x v="2"/>
    <x v="2"/>
    <n v="2"/>
  </r>
  <r>
    <x v="58"/>
    <d v="2024-01-26T00:00:00"/>
    <s v="Mumbai"/>
    <s v="Collision"/>
    <s v="Car"/>
    <x v="1"/>
    <s v="Under Construction"/>
    <x v="1"/>
    <x v="5"/>
    <n v="4"/>
  </r>
  <r>
    <x v="59"/>
    <d v="2024-05-14T00:00:00"/>
    <s v="Pune"/>
    <s v="Overturn"/>
    <s v="Car"/>
    <x v="3"/>
    <s v="Dry"/>
    <x v="1"/>
    <x v="4"/>
    <n v="2"/>
  </r>
  <r>
    <x v="60"/>
    <d v="2024-05-11T00:00:00"/>
    <s v="Hyderabad"/>
    <s v="Animal Hit"/>
    <s v="Bicycle"/>
    <x v="1"/>
    <s v="Under Construction"/>
    <x v="1"/>
    <x v="2"/>
    <n v="5"/>
  </r>
  <r>
    <x v="61"/>
    <d v="2024-03-04T00:00:00"/>
    <s v="Mumbai"/>
    <s v="Collision"/>
    <s v="Motorcycle"/>
    <x v="1"/>
    <s v="Damaged"/>
    <x v="2"/>
    <x v="5"/>
    <n v="5"/>
  </r>
  <r>
    <x v="62"/>
    <d v="2024-06-10T00:00:00"/>
    <s v="Chennai"/>
    <s v="Animal Hit"/>
    <s v="Auto-Rickshaw"/>
    <x v="0"/>
    <s v="Under Construction"/>
    <x v="3"/>
    <x v="2"/>
    <n v="1"/>
  </r>
  <r>
    <x v="63"/>
    <d v="2024-01-10T00:00:00"/>
    <s v="Kolkata"/>
    <s v="Overturn"/>
    <s v="Bus"/>
    <x v="3"/>
    <s v="Under Construction"/>
    <x v="3"/>
    <x v="5"/>
    <n v="4"/>
  </r>
  <r>
    <x v="64"/>
    <d v="2024-03-09T00:00:00"/>
    <s v="Pune"/>
    <s v="Pedestrian Hit"/>
    <s v="Auto-Rickshaw"/>
    <x v="2"/>
    <s v="Dry"/>
    <x v="2"/>
    <x v="1"/>
    <n v="1"/>
  </r>
  <r>
    <x v="65"/>
    <d v="2024-03-16T00:00:00"/>
    <s v="Ahmedabad"/>
    <s v="Overturn"/>
    <s v="Motorcycle"/>
    <x v="2"/>
    <s v="Wet"/>
    <x v="2"/>
    <x v="0"/>
    <n v="2"/>
  </r>
  <r>
    <x v="66"/>
    <d v="2024-02-15T00:00:00"/>
    <s v="Bangalore"/>
    <s v="Collision"/>
    <s v="Bicycle"/>
    <x v="0"/>
    <s v="Wet"/>
    <x v="1"/>
    <x v="5"/>
    <n v="1"/>
  </r>
  <r>
    <x v="67"/>
    <d v="2024-05-05T00:00:00"/>
    <s v="Bangalore"/>
    <s v="Overturn"/>
    <s v="Bicycle"/>
    <x v="2"/>
    <s v="Damaged"/>
    <x v="0"/>
    <x v="4"/>
    <n v="3"/>
  </r>
  <r>
    <x v="68"/>
    <d v="2024-04-26T00:00:00"/>
    <s v="Mumbai"/>
    <s v="Animal Hit"/>
    <s v="Motorcycle"/>
    <x v="3"/>
    <s v="Under Construction"/>
    <x v="0"/>
    <x v="0"/>
    <n v="0"/>
  </r>
  <r>
    <x v="69"/>
    <d v="2024-01-11T00:00:00"/>
    <s v="Kolkata"/>
    <s v="Animal Hit"/>
    <s v="Bicycle"/>
    <x v="1"/>
    <s v="Damaged"/>
    <x v="2"/>
    <x v="5"/>
    <n v="4"/>
  </r>
  <r>
    <x v="70"/>
    <d v="2024-05-18T00:00:00"/>
    <s v="Chennai"/>
    <s v="Object Hit"/>
    <s v="Car"/>
    <x v="0"/>
    <s v="Dry"/>
    <x v="2"/>
    <x v="0"/>
    <n v="2"/>
  </r>
  <r>
    <x v="71"/>
    <d v="2024-06-05T00:00:00"/>
    <s v="Mumbai"/>
    <s v="Animal Hit"/>
    <s v="Bus"/>
    <x v="3"/>
    <s v="Dry"/>
    <x v="3"/>
    <x v="4"/>
    <n v="4"/>
  </r>
  <r>
    <x v="72"/>
    <d v="2024-03-01T00:00:00"/>
    <s v="Bangalore"/>
    <s v="Animal Hit"/>
    <s v="Motorcycle"/>
    <x v="2"/>
    <s v="Dry"/>
    <x v="2"/>
    <x v="3"/>
    <n v="1"/>
  </r>
  <r>
    <x v="73"/>
    <d v="2024-06-17T00:00:00"/>
    <s v="Bangalore"/>
    <s v="Animal Hit"/>
    <s v="Car"/>
    <x v="0"/>
    <s v="Wet"/>
    <x v="1"/>
    <x v="4"/>
    <n v="3"/>
  </r>
  <r>
    <x v="74"/>
    <d v="2024-04-17T00:00:00"/>
    <s v="Kolkata"/>
    <s v="Pedestrian Hit"/>
    <s v="Bus"/>
    <x v="3"/>
    <s v="Damaged"/>
    <x v="0"/>
    <x v="1"/>
    <n v="4"/>
  </r>
  <r>
    <x v="75"/>
    <d v="2024-05-25T00:00:00"/>
    <s v="Bangalore"/>
    <s v="Object Hit"/>
    <s v="Truck"/>
    <x v="3"/>
    <s v="Dry"/>
    <x v="1"/>
    <x v="3"/>
    <n v="4"/>
  </r>
  <r>
    <x v="76"/>
    <d v="2024-02-08T00:00:00"/>
    <s v="Chennai"/>
    <s v="Object Hit"/>
    <s v="Truck"/>
    <x v="0"/>
    <s v="Under Construction"/>
    <x v="2"/>
    <x v="2"/>
    <n v="2"/>
  </r>
  <r>
    <x v="77"/>
    <d v="2024-03-31T00:00:00"/>
    <s v="Chennai"/>
    <s v="Pedestrian Hit"/>
    <s v="Car"/>
    <x v="0"/>
    <s v="Damaged"/>
    <x v="1"/>
    <x v="0"/>
    <n v="0"/>
  </r>
  <r>
    <x v="78"/>
    <d v="2024-02-07T00:00:00"/>
    <s v="Mumbai"/>
    <s v="Collision"/>
    <s v="Bus"/>
    <x v="0"/>
    <s v="Wet"/>
    <x v="2"/>
    <x v="0"/>
    <n v="5"/>
  </r>
  <r>
    <x v="79"/>
    <d v="2024-03-24T00:00:00"/>
    <s v="Ahmedabad"/>
    <s v="Overturn"/>
    <s v="Auto-Rickshaw"/>
    <x v="3"/>
    <s v="Dry"/>
    <x v="2"/>
    <x v="1"/>
    <n v="4"/>
  </r>
  <r>
    <x v="80"/>
    <d v="2024-01-29T00:00:00"/>
    <s v="Delhi"/>
    <s v="Collision"/>
    <s v="Car"/>
    <x v="0"/>
    <s v="Dry"/>
    <x v="3"/>
    <x v="1"/>
    <n v="0"/>
  </r>
  <r>
    <x v="81"/>
    <d v="2024-04-22T00:00:00"/>
    <s v="Ahmedabad"/>
    <s v="Collision"/>
    <s v="Bus"/>
    <x v="2"/>
    <s v="Wet"/>
    <x v="1"/>
    <x v="0"/>
    <n v="3"/>
  </r>
  <r>
    <x v="82"/>
    <d v="2024-05-12T00:00:00"/>
    <s v="Mumbai"/>
    <s v="Object Hit"/>
    <s v="Motorcycle"/>
    <x v="2"/>
    <s v="Damaged"/>
    <x v="0"/>
    <x v="3"/>
    <n v="4"/>
  </r>
  <r>
    <x v="83"/>
    <d v="2024-01-28T00:00:00"/>
    <s v="Pune"/>
    <s v="Overturn"/>
    <s v="Motorcycle"/>
    <x v="3"/>
    <s v="Under Construction"/>
    <x v="3"/>
    <x v="2"/>
    <n v="2"/>
  </r>
  <r>
    <x v="84"/>
    <d v="2024-01-17T00:00:00"/>
    <s v="Delhi"/>
    <s v="Animal Hit"/>
    <s v="Truck"/>
    <x v="1"/>
    <s v="Wet"/>
    <x v="3"/>
    <x v="5"/>
    <n v="3"/>
  </r>
  <r>
    <x v="85"/>
    <d v="2024-01-11T00:00:00"/>
    <s v="Kolkata"/>
    <s v="Animal Hit"/>
    <s v="Car"/>
    <x v="0"/>
    <s v="Dry"/>
    <x v="3"/>
    <x v="4"/>
    <n v="2"/>
  </r>
  <r>
    <x v="86"/>
    <d v="2024-06-14T00:00:00"/>
    <s v="Ahmedabad"/>
    <s v="Animal Hit"/>
    <s v="Motorcycle"/>
    <x v="2"/>
    <s v="Wet"/>
    <x v="0"/>
    <x v="2"/>
    <n v="1"/>
  </r>
  <r>
    <x v="87"/>
    <d v="2024-03-22T00:00:00"/>
    <s v="Hyderabad"/>
    <s v="Object Hit"/>
    <s v="Bicycle"/>
    <x v="2"/>
    <s v="Dry"/>
    <x v="0"/>
    <x v="3"/>
    <n v="2"/>
  </r>
  <r>
    <x v="88"/>
    <d v="2024-06-02T00:00:00"/>
    <s v="Chennai"/>
    <s v="Object Hit"/>
    <s v="Auto-Rickshaw"/>
    <x v="1"/>
    <s v="Dry"/>
    <x v="2"/>
    <x v="5"/>
    <n v="0"/>
  </r>
  <r>
    <x v="89"/>
    <d v="2024-01-03T00:00:00"/>
    <s v="Mumbai"/>
    <s v="Collision"/>
    <s v="Car"/>
    <x v="0"/>
    <s v="Dry"/>
    <x v="3"/>
    <x v="0"/>
    <n v="1"/>
  </r>
  <r>
    <x v="90"/>
    <d v="2024-06-15T00:00:00"/>
    <s v="Kolkata"/>
    <s v="Pedestrian Hit"/>
    <s v="Auto-Rickshaw"/>
    <x v="1"/>
    <s v="Under Construction"/>
    <x v="1"/>
    <x v="5"/>
    <n v="4"/>
  </r>
  <r>
    <x v="91"/>
    <d v="2024-03-18T00:00:00"/>
    <s v="Hyderabad"/>
    <s v="Collision"/>
    <s v="Bus"/>
    <x v="0"/>
    <s v="Damaged"/>
    <x v="1"/>
    <x v="1"/>
    <n v="1"/>
  </r>
  <r>
    <x v="92"/>
    <d v="2024-04-07T00:00:00"/>
    <s v="Pune"/>
    <s v="Pedestrian Hit"/>
    <s v="Motorcycle"/>
    <x v="1"/>
    <s v="Wet"/>
    <x v="3"/>
    <x v="1"/>
    <n v="5"/>
  </r>
  <r>
    <x v="93"/>
    <d v="2024-06-13T00:00:00"/>
    <s v="Kolkata"/>
    <s v="Animal Hit"/>
    <s v="Bicycle"/>
    <x v="0"/>
    <s v="Damaged"/>
    <x v="1"/>
    <x v="1"/>
    <n v="0"/>
  </r>
  <r>
    <x v="94"/>
    <d v="2024-02-20T00:00:00"/>
    <s v="Mumbai"/>
    <s v="Collision"/>
    <s v="Bicycle"/>
    <x v="0"/>
    <s v="Damaged"/>
    <x v="2"/>
    <x v="4"/>
    <n v="3"/>
  </r>
  <r>
    <x v="95"/>
    <d v="2024-01-22T00:00:00"/>
    <s v="Bangalore"/>
    <s v="Animal Hit"/>
    <s v="Car"/>
    <x v="0"/>
    <s v="Under Construction"/>
    <x v="2"/>
    <x v="4"/>
    <n v="5"/>
  </r>
  <r>
    <x v="96"/>
    <d v="2024-04-21T00:00:00"/>
    <s v="Delhi"/>
    <s v="Object Hit"/>
    <s v="Truck"/>
    <x v="2"/>
    <s v="Damaged"/>
    <x v="1"/>
    <x v="4"/>
    <n v="3"/>
  </r>
  <r>
    <x v="97"/>
    <d v="2024-04-08T00:00:00"/>
    <s v="Delhi"/>
    <s v="Pedestrian Hit"/>
    <s v="Motorcycle"/>
    <x v="2"/>
    <s v="Wet"/>
    <x v="3"/>
    <x v="5"/>
    <n v="0"/>
  </r>
  <r>
    <x v="98"/>
    <d v="2024-06-21T00:00:00"/>
    <s v="Kolkata"/>
    <s v="Overturn"/>
    <s v="Auto-Rickshaw"/>
    <x v="0"/>
    <s v="Wet"/>
    <x v="2"/>
    <x v="4"/>
    <n v="4"/>
  </r>
  <r>
    <x v="99"/>
    <d v="2024-01-26T00:00:00"/>
    <s v="Ahmedabad"/>
    <s v="Pedestrian Hit"/>
    <s v="Motorcycle"/>
    <x v="2"/>
    <s v="Damaged"/>
    <x v="3"/>
    <x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x v="0"/>
    <s v="India"/>
    <s v="Karnataka"/>
    <n v="9515759149"/>
    <x v="0"/>
    <s v="Shirt"/>
    <n v="2439.81"/>
    <n v="5"/>
    <n v="3559.55"/>
    <s v="Credit Card"/>
    <n v="12199.05"/>
    <s v="High"/>
    <s v="Medium"/>
    <n v="0.29178911472614671"/>
  </r>
  <r>
    <s v="CUST1001"/>
    <x v="0"/>
    <s v="India"/>
    <s v="Karnataka"/>
    <n v="9720381947"/>
    <x v="1"/>
    <s v="Table"/>
    <n v="1621.43"/>
    <n v="13"/>
    <n v="4029.57"/>
    <s v="Net Banking"/>
    <n v="21078.59"/>
    <s v="High"/>
    <s v="High"/>
    <n v="0.19116885901760983"/>
  </r>
  <r>
    <s v="CUST1002"/>
    <x v="1"/>
    <s v="India"/>
    <s v="West Bengal"/>
    <n v="9483465530"/>
    <x v="0"/>
    <s v="T-shirt"/>
    <n v="1363.73"/>
    <n v="1"/>
    <n v="362.2"/>
    <s v="Net Banking"/>
    <n v="1363.73"/>
    <s v="Low"/>
    <s v="Low"/>
    <n v="0.2655950958034215"/>
  </r>
  <r>
    <s v="CUST1003"/>
    <x v="1"/>
    <s v="India"/>
    <s v="West Bengal"/>
    <n v="9350165589"/>
    <x v="1"/>
    <s v="Sofa"/>
    <n v="1172.93"/>
    <n v="5"/>
    <n v="1542.65"/>
    <s v="Cash"/>
    <n v="5864.65"/>
    <s v="Medium"/>
    <s v="Medium"/>
    <n v="0.26304212527601817"/>
  </r>
  <r>
    <s v="CUST1004"/>
    <x v="1"/>
    <s v="India"/>
    <s v="Karnataka"/>
    <n v="9621991901"/>
    <x v="0"/>
    <s v="Jeans"/>
    <n v="2457.56"/>
    <n v="13"/>
    <n v="6972.71"/>
    <s v="Credit Card"/>
    <n v="31948.28"/>
    <s v="High"/>
    <s v="High"/>
    <n v="0.21824993395575601"/>
  </r>
  <r>
    <s v="CUST1005"/>
    <x v="1"/>
    <s v="India"/>
    <s v="West Bengal"/>
    <n v="9734105442"/>
    <x v="0"/>
    <s v="Dress"/>
    <n v="2661.44"/>
    <n v="7"/>
    <n v="2581.67"/>
    <s v="Net Banking"/>
    <n v="18630.080000000002"/>
    <s v="High"/>
    <s v="High"/>
    <n v="0.13857535770109414"/>
  </r>
  <r>
    <s v="CUST1006"/>
    <x v="2"/>
    <s v="India"/>
    <s v="Tamil Nadu"/>
    <n v="9117390999"/>
    <x v="0"/>
    <s v="T-shirt"/>
    <n v="1400.82"/>
    <n v="6"/>
    <n v="994.44"/>
    <s v="UPI"/>
    <n v="8404.92"/>
    <s v="Medium"/>
    <s v="Medium"/>
    <n v="0.11831641467140676"/>
  </r>
  <r>
    <s v="CUST1007"/>
    <x v="0"/>
    <s v="India"/>
    <s v="Karnataka"/>
    <n v="9513032833"/>
    <x v="1"/>
    <s v="Chair"/>
    <n v="416.18"/>
    <n v="3"/>
    <n v="327.88"/>
    <s v="Net Banking"/>
    <n v="1248.54"/>
    <s v="Low"/>
    <s v="Low"/>
    <n v="0.26261072933185964"/>
  </r>
  <r>
    <s v="CUST1008"/>
    <x v="1"/>
    <s v="India"/>
    <s v="Maharashtra"/>
    <n v="95543976868"/>
    <x v="1"/>
    <s v="Chair"/>
    <n v="1290.47"/>
    <n v="6"/>
    <n v="1045.43"/>
    <s v="Net Banking"/>
    <n v="7742.82"/>
    <s v="Medium"/>
    <s v="Medium"/>
    <n v="0.1350192823803214"/>
  </r>
  <r>
    <s v="CUST1009"/>
    <x v="0"/>
    <s v="India"/>
    <s v="Gujarat"/>
    <n v="9866250123"/>
    <x v="0"/>
    <s v="T-shirt"/>
    <n v="2519.94"/>
    <n v="15"/>
    <n v="11123.31"/>
    <s v="Cash"/>
    <n v="37799.1"/>
    <s v="High"/>
    <s v="High"/>
    <n v="0.2942744668523854"/>
  </r>
  <r>
    <s v="CUST1010"/>
    <x v="1"/>
    <s v="India"/>
    <s v="Rajasthan"/>
    <n v="9884314044"/>
    <x v="0"/>
    <s v="T-shirt"/>
    <n v="2814.97"/>
    <n v="1"/>
    <n v="716.15"/>
    <s v="Net Banking"/>
    <n v="2814.97"/>
    <s v="Low"/>
    <s v="Low"/>
    <n v="0.25440768462896585"/>
  </r>
  <r>
    <s v="CUST1011"/>
    <x v="2"/>
    <s v="India"/>
    <s v="West Bengal"/>
    <n v="9192128284"/>
    <x v="0"/>
    <s v="Jeans"/>
    <n v="841.72"/>
    <n v="13"/>
    <n v="2130.1799999999998"/>
    <s v="UPI"/>
    <n v="10942.36"/>
    <s v="High"/>
    <s v="Medium"/>
    <n v="0.19467281281186141"/>
  </r>
  <r>
    <s v="CUST1012"/>
    <x v="3"/>
    <s v="India"/>
    <s v="West Bengal"/>
    <n v="9731590483"/>
    <x v="2"/>
    <s v="Tablet"/>
    <n v="1169.28"/>
    <n v="2"/>
    <n v="273.95"/>
    <s v="Credit Card"/>
    <n v="2338.56"/>
    <s v="Low"/>
    <s v="Low"/>
    <n v="0.11714473864258347"/>
  </r>
  <r>
    <s v="CUST1013"/>
    <x v="0"/>
    <s v="India"/>
    <s v="Karnataka"/>
    <n v="9245312903"/>
    <x v="1"/>
    <s v="Bookshelf"/>
    <n v="2320.0300000000002"/>
    <n v="3"/>
    <n v="1260.55"/>
    <s v="Credit Card"/>
    <n v="6960.09"/>
    <s v="Medium"/>
    <s v="Medium"/>
    <n v="0.1811111637924222"/>
  </r>
  <r>
    <s v="CUST1014"/>
    <x v="3"/>
    <s v="India"/>
    <s v="West Bengal"/>
    <n v="9587137236"/>
    <x v="0"/>
    <s v="T-shirt"/>
    <n v="1780.66"/>
    <n v="11"/>
    <n v="2826.93"/>
    <s v="UPI"/>
    <n v="19587.259999999998"/>
    <s v="High"/>
    <s v="High"/>
    <n v="0.14432493365585589"/>
  </r>
  <r>
    <s v="CUST1015"/>
    <x v="3"/>
    <s v="India"/>
    <s v="Tamil Nadu"/>
    <n v="9161819590"/>
    <x v="2"/>
    <s v="Monitor"/>
    <n v="2672"/>
    <n v="15"/>
    <n v="4719.91"/>
    <s v="Cash"/>
    <n v="40080"/>
    <s v="High"/>
    <s v="High"/>
    <n v="0.11776222554890219"/>
  </r>
  <r>
    <s v="CUST1016"/>
    <x v="1"/>
    <s v="India"/>
    <s v="West Bengal"/>
    <n v="9551484924"/>
    <x v="0"/>
    <s v="Jacket"/>
    <n v="824.49"/>
    <n v="9"/>
    <n v="1403.14"/>
    <s v="Debit Card"/>
    <n v="7420.41"/>
    <s v="Medium"/>
    <s v="Medium"/>
    <n v="0.18909197739747535"/>
  </r>
  <r>
    <s v="CUST1017"/>
    <x v="2"/>
    <s v="India"/>
    <s v="Uttar Pradesh"/>
    <n v="91682255459"/>
    <x v="2"/>
    <s v="Headphones"/>
    <n v="2896.96"/>
    <n v="7"/>
    <n v="3528.3"/>
    <s v="Net Banking"/>
    <n v="20278.72"/>
    <s v="High"/>
    <s v="High"/>
    <n v="0.17399027157532626"/>
  </r>
  <r>
    <s v="CUST1018"/>
    <x v="1"/>
    <s v="India"/>
    <s v="Maharashtra"/>
    <n v="9277023818"/>
    <x v="2"/>
    <s v="Monitor"/>
    <n v="1235.32"/>
    <n v="9"/>
    <n v="2542.0700000000002"/>
    <s v="Debit Card"/>
    <n v="11117.88"/>
    <s v="High"/>
    <s v="Medium"/>
    <n v="0.22864700824257866"/>
  </r>
  <r>
    <s v="CUST1019"/>
    <x v="2"/>
    <s v="India"/>
    <s v="Gujarat"/>
    <n v="9670448490"/>
    <x v="1"/>
    <s v="Table"/>
    <n v="2168.33"/>
    <n v="3"/>
    <n v="1394.93"/>
    <s v="Cash"/>
    <n v="6504.99"/>
    <s v="Medium"/>
    <s v="Medium"/>
    <n v="0.21443999145271556"/>
  </r>
  <r>
    <s v="CUST1020"/>
    <x v="2"/>
    <s v="India"/>
    <s v="West Bengal"/>
    <n v="9123788207"/>
    <x v="0"/>
    <s v="Jacket"/>
    <n v="2654.54"/>
    <n v="5"/>
    <n v="3308.52"/>
    <s v="Debit Card"/>
    <n v="13272.7"/>
    <s v="High"/>
    <s v="Medium"/>
    <n v="0.24927256699842532"/>
  </r>
  <r>
    <s v="CUST1021"/>
    <x v="0"/>
    <s v="India"/>
    <s v="Tamil Nadu"/>
    <n v="99831923457"/>
    <x v="2"/>
    <s v="Laptop"/>
    <n v="1313.77"/>
    <n v="7"/>
    <n v="2435.5500000000002"/>
    <s v="Cash"/>
    <n v="9196.39"/>
    <s v="Medium"/>
    <s v="Medium"/>
    <n v="0.26483761562961122"/>
  </r>
  <r>
    <s v="CUST1022"/>
    <x v="2"/>
    <s v="India"/>
    <s v="Gujarat"/>
    <n v="9822358874"/>
    <x v="2"/>
    <s v="Headphones"/>
    <n v="1602.24"/>
    <n v="13"/>
    <n v="3082.85"/>
    <s v="Debit Card"/>
    <n v="20829.12"/>
    <s v="High"/>
    <s v="High"/>
    <n v="0.148006732881658"/>
  </r>
  <r>
    <s v="CUST1023"/>
    <x v="0"/>
    <s v="India"/>
    <s v="Uttar Pradesh"/>
    <n v="9497595031"/>
    <x v="1"/>
    <s v="Sofa"/>
    <n v="592.33000000000004"/>
    <n v="4"/>
    <n v="539.64"/>
    <s v="Net Banking"/>
    <n v="2369.3200000000002"/>
    <s v="Low"/>
    <s v="Low"/>
    <n v="0.22776155183765803"/>
  </r>
  <r>
    <s v="CUST1024"/>
    <x v="1"/>
    <s v="India"/>
    <s v="Rajasthan"/>
    <n v="9781615192"/>
    <x v="2"/>
    <s v="Monitor"/>
    <n v="589.14"/>
    <n v="8"/>
    <n v="1252.56"/>
    <s v="Cash"/>
    <n v="4713.12"/>
    <s v="Low"/>
    <s v="Low"/>
    <n v="0.26576026071901415"/>
  </r>
  <r>
    <s v="CUST1025"/>
    <x v="3"/>
    <s v="India"/>
    <s v="Uttar Pradesh"/>
    <n v="9310431691"/>
    <x v="1"/>
    <s v="Chair"/>
    <n v="2354.6"/>
    <n v="4"/>
    <n v="2575.4299999999998"/>
    <s v="Credit Card"/>
    <n v="9418.4"/>
    <s v="Medium"/>
    <s v="Medium"/>
    <n v="0.27344665760638748"/>
  </r>
  <r>
    <s v="CUST1026"/>
    <x v="2"/>
    <s v="India"/>
    <s v="Uttar Pradesh"/>
    <n v="9375633062"/>
    <x v="2"/>
    <s v="Smartphone"/>
    <n v="1920.55"/>
    <n v="6"/>
    <n v="2254.59"/>
    <s v="Credit Card"/>
    <n v="11523.3"/>
    <s v="High"/>
    <s v="Medium"/>
    <n v="0.1956548905261514"/>
  </r>
  <r>
    <s v="CUST1027"/>
    <x v="2"/>
    <s v="India"/>
    <s v="West Bengal"/>
    <n v="9958467371"/>
    <x v="0"/>
    <s v="Dress"/>
    <n v="1086.4100000000001"/>
    <n v="7"/>
    <n v="2066.7600000000002"/>
    <s v="Credit Card"/>
    <n v="7604.87"/>
    <s v="Medium"/>
    <s v="Medium"/>
    <n v="0.27176795921560787"/>
  </r>
  <r>
    <s v="CUST1028"/>
    <x v="2"/>
    <s v="India"/>
    <s v="West Bengal"/>
    <n v="9485913642"/>
    <x v="1"/>
    <s v="Bookshelf"/>
    <n v="1181.07"/>
    <n v="13"/>
    <n v="3821.07"/>
    <s v="Cash"/>
    <n v="15353.91"/>
    <s v="High"/>
    <s v="High"/>
    <n v="0.24886624970447269"/>
  </r>
  <r>
    <s v="CUST1029"/>
    <x v="2"/>
    <s v="India"/>
    <s v="Uttar Pradesh"/>
    <n v="9942727052"/>
    <x v="1"/>
    <s v="Cupboard"/>
    <n v="2521.1999999999998"/>
    <n v="8"/>
    <n v="6046.68"/>
    <s v="Credit Card"/>
    <n v="20169.599999999999"/>
    <s v="High"/>
    <s v="High"/>
    <n v="0.29979176582579725"/>
  </r>
  <r>
    <s v="CUST1030"/>
    <x v="1"/>
    <s v="India"/>
    <s v="Gujarat"/>
    <n v="9164209990"/>
    <x v="0"/>
    <s v="Jeans"/>
    <n v="1741.71"/>
    <n v="15"/>
    <n v="4026.14"/>
    <s v="UPI"/>
    <n v="26125.65"/>
    <s v="High"/>
    <s v="High"/>
    <n v="0.15410678777370132"/>
  </r>
  <r>
    <s v="CUST1031"/>
    <x v="1"/>
    <s v="India"/>
    <s v="Uttar Pradesh"/>
    <n v="9972130283"/>
    <x v="1"/>
    <s v="Sofa"/>
    <n v="1691.18"/>
    <n v="9"/>
    <n v="3286.83"/>
    <s v="Net Banking"/>
    <n v="15220.62"/>
    <s v="High"/>
    <s v="High"/>
    <n v="0.21594586817094177"/>
  </r>
  <r>
    <s v="CUST1032"/>
    <x v="1"/>
    <s v="India"/>
    <s v="Uttar Pradesh"/>
    <n v="9305312346"/>
    <x v="0"/>
    <s v="Jacket"/>
    <n v="2430.4899999999998"/>
    <n v="1"/>
    <n v="538.34"/>
    <s v="Debit Card"/>
    <n v="2430.4899999999998"/>
    <s v="Low"/>
    <s v="Low"/>
    <n v="0.22149443116408629"/>
  </r>
  <r>
    <s v="CUST1033"/>
    <x v="0"/>
    <s v="India"/>
    <s v="Uttar Pradesh"/>
    <n v="9403336927"/>
    <x v="0"/>
    <s v="Dress"/>
    <n v="1937.5"/>
    <n v="10"/>
    <n v="2548.08"/>
    <s v="UPI"/>
    <n v="19375"/>
    <s v="High"/>
    <s v="High"/>
    <n v="0.1315138064516129"/>
  </r>
  <r>
    <s v="CUST1034"/>
    <x v="3"/>
    <s v="India"/>
    <s v="Karnataka"/>
    <n v="9209432112"/>
    <x v="0"/>
    <s v="T-shirt"/>
    <n v="2848.61"/>
    <n v="15"/>
    <n v="6188.69"/>
    <s v="Debit Card"/>
    <n v="42729.15"/>
    <s v="High"/>
    <s v="High"/>
    <n v="0.14483531734190827"/>
  </r>
  <r>
    <s v="CUST1035"/>
    <x v="3"/>
    <s v="India"/>
    <s v="Maharashtra"/>
    <n v="92886736565"/>
    <x v="1"/>
    <s v="Cupboard"/>
    <n v="537.01"/>
    <n v="15"/>
    <n v="848.33"/>
    <s v="Debit Card"/>
    <n v="8055.15"/>
    <s v="Medium"/>
    <s v="Medium"/>
    <n v="0.10531523311173598"/>
  </r>
  <r>
    <s v="CUST1036"/>
    <x v="2"/>
    <s v="India"/>
    <s v="Karnataka"/>
    <n v="9696039067"/>
    <x v="1"/>
    <s v="Sofa"/>
    <n v="2052.79"/>
    <n v="1"/>
    <n v="296.79000000000002"/>
    <s v="Net Banking"/>
    <n v="2052.79"/>
    <s v="Low"/>
    <s v="Low"/>
    <n v="0.14457884147915764"/>
  </r>
  <r>
    <s v="CUST1037"/>
    <x v="2"/>
    <s v="India"/>
    <s v="Maharashtra"/>
    <n v="9729755086"/>
    <x v="0"/>
    <s v="Jacket"/>
    <n v="1708.1"/>
    <n v="3"/>
    <n v="897.22"/>
    <s v="Credit Card"/>
    <n v="5124.3"/>
    <s v="Medium"/>
    <s v="Medium"/>
    <n v="0.17509123197314758"/>
  </r>
  <r>
    <s v="CUST1038"/>
    <x v="2"/>
    <s v="India"/>
    <s v="Uttar Pradesh"/>
    <n v="9291717779"/>
    <x v="2"/>
    <s v="Headphones"/>
    <n v="1616.55"/>
    <n v="14"/>
    <n v="6621.29"/>
    <s v="Credit Card"/>
    <n v="22631.7"/>
    <s v="High"/>
    <s v="High"/>
    <n v="0.29256706301338387"/>
  </r>
  <r>
    <s v="CUST1039"/>
    <x v="2"/>
    <s v="India"/>
    <s v="Karnataka"/>
    <n v="9596984707"/>
    <x v="0"/>
    <s v="Jeans"/>
    <n v="1774.62"/>
    <n v="7"/>
    <n v="3378.16"/>
    <s v="Credit Card"/>
    <n v="12422.34"/>
    <s v="High"/>
    <s v="Medium"/>
    <n v="0.27194232326598688"/>
  </r>
  <r>
    <s v="CUST1040"/>
    <x v="1"/>
    <s v="India"/>
    <s v="Gujarat"/>
    <n v="9621477109"/>
    <x v="2"/>
    <s v="Smartphone"/>
    <n v="644.14"/>
    <n v="12"/>
    <n v="988.52"/>
    <s v="Cash"/>
    <n v="7729.68"/>
    <s v="Medium"/>
    <s v="Medium"/>
    <n v="0.12788627731031554"/>
  </r>
  <r>
    <s v="CUST1041"/>
    <x v="1"/>
    <s v="India"/>
    <s v="West Bengal"/>
    <n v="9813614929"/>
    <x v="1"/>
    <s v="Sofa"/>
    <n v="1767.47"/>
    <n v="13"/>
    <n v="3353.4"/>
    <s v="UPI"/>
    <n v="22977.11"/>
    <s v="High"/>
    <s v="High"/>
    <n v="0.14594524724823965"/>
  </r>
  <r>
    <s v="CUST1042"/>
    <x v="2"/>
    <s v="India"/>
    <s v="Tamil Nadu"/>
    <n v="9314930259"/>
    <x v="0"/>
    <s v="Dress"/>
    <n v="2506.6"/>
    <n v="11"/>
    <n v="8011.16"/>
    <s v="UPI"/>
    <n v="27572.6"/>
    <s v="High"/>
    <s v="High"/>
    <n v="0.29054786273329319"/>
  </r>
  <r>
    <s v="CUST1043"/>
    <x v="0"/>
    <s v="India"/>
    <s v="West Bengal"/>
    <n v="93262535688"/>
    <x v="2"/>
    <s v="Tablet"/>
    <n v="727.87"/>
    <n v="2"/>
    <n v="385.93"/>
    <s v="Credit Card"/>
    <n v="1455.74"/>
    <s v="Low"/>
    <s v="Low"/>
    <n v="0.26510915410718949"/>
  </r>
  <r>
    <s v="CUST1044"/>
    <x v="0"/>
    <s v="India"/>
    <s v="Uttar Pradesh"/>
    <n v="9922473225"/>
    <x v="1"/>
    <s v="Sofa"/>
    <n v="2509.39"/>
    <n v="4"/>
    <n v="2607.48"/>
    <s v="Credit Card"/>
    <n v="10037.56"/>
    <s v="High"/>
    <s v="Medium"/>
    <n v="0.25977229525900719"/>
  </r>
  <r>
    <s v="CUST1045"/>
    <x v="3"/>
    <s v="India"/>
    <s v="Rajasthan"/>
    <n v="9435049619"/>
    <x v="2"/>
    <s v="Monitor"/>
    <n v="254.27"/>
    <n v="5"/>
    <n v="247.89"/>
    <s v="Net Banking"/>
    <n v="1271.3499999999999"/>
    <s v="Low"/>
    <s v="Low"/>
    <n v="0.19498171235301054"/>
  </r>
  <r>
    <s v="CUST1046"/>
    <x v="2"/>
    <s v="India"/>
    <s v="Uttar Pradesh"/>
    <n v="9139717689"/>
    <x v="2"/>
    <s v="Tablet"/>
    <n v="1104.23"/>
    <n v="11"/>
    <n v="1883.37"/>
    <s v="Credit Card"/>
    <n v="12146.53"/>
    <s v="High"/>
    <s v="Medium"/>
    <n v="0.1550541595006969"/>
  </r>
  <r>
    <s v="CUST1047"/>
    <x v="1"/>
    <s v="India"/>
    <s v="West Bengal"/>
    <n v="9873282041"/>
    <x v="2"/>
    <s v="Laptop"/>
    <n v="861.53"/>
    <n v="3"/>
    <n v="482.01"/>
    <s v="Debit Card"/>
    <n v="2584.59"/>
    <s v="Low"/>
    <s v="Low"/>
    <n v="0.18649379592120993"/>
  </r>
  <r>
    <s v="CUST1048"/>
    <x v="3"/>
    <s v="India"/>
    <s v="West Bengal"/>
    <n v="9520705759"/>
    <x v="0"/>
    <s v="T-shirt"/>
    <n v="940.76"/>
    <n v="4"/>
    <n v="842.47"/>
    <s v="Debit Card"/>
    <n v="3763.04"/>
    <s v="Low"/>
    <s v="Low"/>
    <n v="0.2238801607211191"/>
  </r>
  <r>
    <s v="CUST1049"/>
    <x v="2"/>
    <s v="India"/>
    <s v="West Bengal"/>
    <n v="9648648568"/>
    <x v="0"/>
    <s v="T-shirt"/>
    <n v="1505.5"/>
    <n v="11"/>
    <n v="3985.19"/>
    <s v="Debit Card"/>
    <n v="16560.5"/>
    <s v="High"/>
    <s v="High"/>
    <n v="0.24064430421786781"/>
  </r>
  <r>
    <s v="CUST1050"/>
    <x v="0"/>
    <s v="India"/>
    <s v="Uttar Pradesh"/>
    <n v="9416435713"/>
    <x v="0"/>
    <s v="Jeans"/>
    <n v="1477.49"/>
    <n v="11"/>
    <n v="2428.98"/>
    <s v="Credit Card"/>
    <n v="16252.39"/>
    <s v="High"/>
    <s v="High"/>
    <n v="0.14945371111571898"/>
  </r>
  <r>
    <s v="CUST1051"/>
    <x v="2"/>
    <s v="India"/>
    <s v="Rajasthan"/>
    <n v="9211381294"/>
    <x v="1"/>
    <s v="Chair"/>
    <n v="704.64"/>
    <n v="2"/>
    <n v="163.57"/>
    <s v="UPI"/>
    <n v="1409.28"/>
    <s v="Low"/>
    <s v="Low"/>
    <n v="0.11606636012715713"/>
  </r>
  <r>
    <s v="CUST1052"/>
    <x v="3"/>
    <s v="India"/>
    <s v="West Bengal"/>
    <n v="9791244114"/>
    <x v="1"/>
    <s v="Cupboard"/>
    <n v="2030.2"/>
    <n v="13"/>
    <n v="3695.03"/>
    <s v="Net Banking"/>
    <n v="26392.6"/>
    <s v="High"/>
    <s v="High"/>
    <n v="0.14000250070095405"/>
  </r>
  <r>
    <s v="CUST1053"/>
    <x v="0"/>
    <s v="India"/>
    <s v="Rajasthan"/>
    <n v="9194670146"/>
    <x v="0"/>
    <s v="Shirt"/>
    <n v="1822.28"/>
    <n v="4"/>
    <n v="1973.2"/>
    <s v="Cash"/>
    <n v="7289.12"/>
    <s v="Medium"/>
    <s v="Medium"/>
    <n v="0.27070483131022677"/>
  </r>
  <r>
    <s v="CUST1054"/>
    <x v="3"/>
    <s v="India"/>
    <s v="Maharashtra"/>
    <n v="9519275644"/>
    <x v="1"/>
    <s v="Sofa"/>
    <n v="600.17999999999995"/>
    <n v="11"/>
    <n v="1525.57"/>
    <s v="Credit Card"/>
    <n v="6601.98"/>
    <s v="Medium"/>
    <s v="Medium"/>
    <n v="0.23107764640304879"/>
  </r>
  <r>
    <s v="CUST1055"/>
    <x v="1"/>
    <s v="India"/>
    <s v="Maharashtra"/>
    <n v="9520013561"/>
    <x v="0"/>
    <s v="T-shirt"/>
    <n v="2330.36"/>
    <n v="7"/>
    <n v="3532.26"/>
    <s v="Debit Card"/>
    <n v="16312.52"/>
    <s v="High"/>
    <s v="High"/>
    <n v="0.21653674600858727"/>
  </r>
  <r>
    <s v="CUST1056"/>
    <x v="3"/>
    <s v="India"/>
    <s v="Gujarat"/>
    <n v="95989895092"/>
    <x v="2"/>
    <s v="Headphones"/>
    <n v="1084.67"/>
    <n v="13"/>
    <n v="4140.1400000000003"/>
    <s v="Cash"/>
    <n v="14100.71"/>
    <s v="High"/>
    <s v="Medium"/>
    <n v="0.29361216562853926"/>
  </r>
  <r>
    <s v="CUST1057"/>
    <x v="2"/>
    <s v="India"/>
    <s v="Uttar Pradesh"/>
    <n v="9499862542"/>
    <x v="1"/>
    <s v="Cupboard"/>
    <n v="1893.55"/>
    <n v="12"/>
    <n v="3204.64"/>
    <s v="Net Banking"/>
    <n v="22722.6"/>
    <s v="High"/>
    <s v="High"/>
    <n v="0.14103315641695932"/>
  </r>
  <r>
    <s v="CUST1058"/>
    <x v="3"/>
    <s v="India"/>
    <s v="Gujarat"/>
    <n v="9724136290"/>
    <x v="1"/>
    <s v="Chair"/>
    <n v="1747.22"/>
    <n v="6"/>
    <n v="2678.22"/>
    <s v="Cash"/>
    <n v="10483.32"/>
    <s v="High"/>
    <s v="Medium"/>
    <n v="0.25547441077826488"/>
  </r>
  <r>
    <s v="CUST1059"/>
    <x v="2"/>
    <s v="India"/>
    <s v="Gujarat"/>
    <n v="9321909198"/>
    <x v="1"/>
    <s v="Bookshelf"/>
    <n v="287.31"/>
    <n v="8"/>
    <n v="381.56"/>
    <s v="Debit Card"/>
    <n v="2298.48"/>
    <s v="Low"/>
    <s v="Low"/>
    <n v="0.16600536006404232"/>
  </r>
  <r>
    <s v="CUST1060"/>
    <x v="3"/>
    <s v="India"/>
    <s v="Maharashtra"/>
    <n v="9760693305"/>
    <x v="0"/>
    <s v="Shirt"/>
    <n v="1700.05"/>
    <n v="2"/>
    <n v="383.92"/>
    <s v="UPI"/>
    <n v="3400.1"/>
    <s v="Low"/>
    <s v="Low"/>
    <n v="0.11291432604923385"/>
  </r>
  <r>
    <s v="CUST1061"/>
    <x v="2"/>
    <s v="India"/>
    <s v="Gujarat"/>
    <n v="9658575570"/>
    <x v="1"/>
    <s v="Bookshelf"/>
    <n v="1180.31"/>
    <n v="7"/>
    <n v="847.73"/>
    <s v="UPI"/>
    <n v="8262.17"/>
    <s v="Medium"/>
    <s v="Medium"/>
    <n v="0.10260379537094977"/>
  </r>
  <r>
    <s v="CUST1062"/>
    <x v="1"/>
    <s v="India"/>
    <s v="Gujarat"/>
    <n v="9950273824"/>
    <x v="1"/>
    <s v="Cupboard"/>
    <n v="653.35"/>
    <n v="4"/>
    <n v="345.46"/>
    <s v="Credit Card"/>
    <n v="2613.4"/>
    <s v="Low"/>
    <s v="Low"/>
    <n v="0.13218795438891864"/>
  </r>
  <r>
    <s v="CUST1063"/>
    <x v="1"/>
    <s v="India"/>
    <s v="Tamil Nadu"/>
    <n v="9898816813"/>
    <x v="2"/>
    <s v="Laptop"/>
    <n v="1881.74"/>
    <n v="4"/>
    <n v="1363.83"/>
    <s v="Debit Card"/>
    <n v="7526.96"/>
    <s v="Medium"/>
    <s v="Medium"/>
    <n v="0.18119267273906065"/>
  </r>
  <r>
    <s v="CUST1064"/>
    <x v="3"/>
    <s v="India"/>
    <s v="Rajasthan"/>
    <n v="9571594565"/>
    <x v="1"/>
    <s v="Table"/>
    <n v="1206.3499999999999"/>
    <n v="15"/>
    <n v="2801.82"/>
    <s v="UPI"/>
    <n v="18095.25"/>
    <s v="High"/>
    <s v="High"/>
    <n v="0.15483731918597424"/>
  </r>
  <r>
    <s v="CUST1065"/>
    <x v="1"/>
    <s v="India"/>
    <s v="Maharashtra"/>
    <n v="9684352160"/>
    <x v="0"/>
    <s v="Jacket"/>
    <n v="1849.95"/>
    <n v="5"/>
    <n v="2111.02"/>
    <s v="Debit Card"/>
    <n v="9249.75"/>
    <s v="Medium"/>
    <s v="Medium"/>
    <n v="0.22822454660936781"/>
  </r>
  <r>
    <s v="CUST1066"/>
    <x v="0"/>
    <s v="India"/>
    <s v="West Bengal"/>
    <n v="9845713875"/>
    <x v="2"/>
    <s v="Tablet"/>
    <n v="1896.1"/>
    <n v="5"/>
    <n v="2676.46"/>
    <s v="Debit Card"/>
    <n v="9480.5"/>
    <s v="Medium"/>
    <s v="Medium"/>
    <n v="0.28231211433996095"/>
  </r>
  <r>
    <s v="CUST1067"/>
    <x v="1"/>
    <s v="India"/>
    <s v="Tamil Nadu"/>
    <n v="85"/>
    <x v="1"/>
    <s v="Bookshelf"/>
    <n v="1799.6"/>
    <n v="6"/>
    <n v="1551.79"/>
    <s v="Cash"/>
    <n v="10797.6"/>
    <s v="High"/>
    <s v="Medium"/>
    <n v="0.14371619619174633"/>
  </r>
  <r>
    <s v="CUST1068"/>
    <x v="3"/>
    <s v="India"/>
    <s v="Karnataka"/>
    <n v="9304184751"/>
    <x v="1"/>
    <s v="Cupboard"/>
    <n v="1330.26"/>
    <n v="2"/>
    <n v="669.54"/>
    <s v="Credit Card"/>
    <n v="2660.52"/>
    <s v="Low"/>
    <s v="Low"/>
    <n v="0.25165757070046457"/>
  </r>
  <r>
    <s v="CUST1069"/>
    <x v="3"/>
    <s v="India"/>
    <s v="Rajasthan"/>
    <n v="9141039856"/>
    <x v="2"/>
    <s v="Smartphone"/>
    <n v="322.57"/>
    <n v="13"/>
    <n v="684.45"/>
    <s v="Debit Card"/>
    <n v="4193.41"/>
    <s v="Low"/>
    <s v="Low"/>
    <n v="0.16322038627274701"/>
  </r>
  <r>
    <s v="CUST1070"/>
    <x v="2"/>
    <s v="India"/>
    <s v="Tamil Nadu"/>
    <n v="9640589740"/>
    <x v="2"/>
    <s v="Tablet"/>
    <n v="1510.41"/>
    <n v="1"/>
    <n v="434.79"/>
    <s v="Net Banking"/>
    <n v="1510.41"/>
    <s v="Low"/>
    <s v="Low"/>
    <n v="0.28786223608159373"/>
  </r>
  <r>
    <s v="CUST1071"/>
    <x v="1"/>
    <s v="India"/>
    <s v="Karnataka"/>
    <n v="9406517796"/>
    <x v="0"/>
    <s v="Dress"/>
    <n v="1085.52"/>
    <n v="4"/>
    <n v="749.57"/>
    <s v="Credit Card"/>
    <n v="4342.08"/>
    <s v="Low"/>
    <s v="Low"/>
    <n v="0.17262924681258754"/>
  </r>
  <r>
    <s v="CUST1072"/>
    <x v="1"/>
    <s v="India"/>
    <s v="Maharashtra"/>
    <n v="9606169051"/>
    <x v="1"/>
    <s v="Table"/>
    <n v="1441.79"/>
    <n v="14"/>
    <n v="3929.03"/>
    <s v="Debit Card"/>
    <n v="20185.060000000001"/>
    <s v="High"/>
    <s v="High"/>
    <n v="0.19465039985018626"/>
  </r>
  <r>
    <s v="CUST1073"/>
    <x v="3"/>
    <s v="India"/>
    <s v="Rajasthan"/>
    <n v="9350461925"/>
    <x v="1"/>
    <s v="Cupboard"/>
    <n v="686.64"/>
    <n v="8"/>
    <n v="878.07"/>
    <s v="Credit Card"/>
    <n v="5493.12"/>
    <s v="Medium"/>
    <s v="Medium"/>
    <n v="0.15984904753582665"/>
  </r>
  <r>
    <s v="CUST1074"/>
    <x v="0"/>
    <s v="India"/>
    <s v="West Bengal"/>
    <n v="9996467468"/>
    <x v="0"/>
    <s v="Dress"/>
    <n v="2830.64"/>
    <n v="6"/>
    <n v="1830.75"/>
    <s v="Credit Card"/>
    <n v="16983.84"/>
    <s v="High"/>
    <s v="High"/>
    <n v="0.10779364384026227"/>
  </r>
  <r>
    <s v="CUST1075"/>
    <x v="0"/>
    <s v="India"/>
    <s v="Rajasthan"/>
    <n v="9128345710"/>
    <x v="2"/>
    <s v="Headphones"/>
    <n v="2619.08"/>
    <n v="6"/>
    <n v="4245.2299999999996"/>
    <s v="Net Banking"/>
    <n v="15714.48"/>
    <s v="High"/>
    <s v="High"/>
    <n v="0.27014765999256735"/>
  </r>
  <r>
    <s v="CUST1076"/>
    <x v="2"/>
    <s v="India"/>
    <s v="Gujarat"/>
    <n v="9392055351"/>
    <x v="0"/>
    <s v="Jeans"/>
    <n v="503.93"/>
    <n v="11"/>
    <n v="1183.48"/>
    <s v="Cash"/>
    <n v="5543.23"/>
    <s v="Medium"/>
    <s v="Medium"/>
    <n v="0.2135000712580932"/>
  </r>
  <r>
    <s v="CUST1077"/>
    <x v="1"/>
    <s v="India"/>
    <s v="Tamil Nadu"/>
    <n v="9980141994"/>
    <x v="1"/>
    <s v="Bookshelf"/>
    <n v="467.71"/>
    <n v="12"/>
    <n v="1223.23"/>
    <s v="Credit Card"/>
    <n v="5612.52"/>
    <s v="Medium"/>
    <s v="Medium"/>
    <n v="0.21794666210543573"/>
  </r>
  <r>
    <s v="CUST1078"/>
    <x v="0"/>
    <s v="India"/>
    <s v="Maharashtra"/>
    <n v="9403999543"/>
    <x v="1"/>
    <s v="Chair"/>
    <n v="2307.34"/>
    <n v="14"/>
    <n v="3571.15"/>
    <s v="Debit Card"/>
    <n v="32302.76"/>
    <s v="High"/>
    <s v="High"/>
    <n v="0.11055247291562702"/>
  </r>
  <r>
    <s v="CUST1079"/>
    <x v="3"/>
    <s v="India"/>
    <s v="Uttar Pradesh"/>
    <n v="9164427200"/>
    <x v="2"/>
    <s v="Tablet"/>
    <n v="1513.57"/>
    <n v="14"/>
    <n v="5761.18"/>
    <s v="Credit Card"/>
    <n v="21189.98"/>
    <s v="High"/>
    <s v="High"/>
    <n v="0.27188227643442797"/>
  </r>
  <r>
    <s v="CUST1080"/>
    <x v="3"/>
    <s v="India"/>
    <s v="Maharashtra"/>
    <n v="858947"/>
    <x v="1"/>
    <s v="Cupboard"/>
    <n v="2213.4499999999998"/>
    <n v="3"/>
    <n v="867.33"/>
    <s v="Debit Card"/>
    <n v="6640.35"/>
    <s v="Medium"/>
    <s v="Medium"/>
    <n v="0.13061510311956451"/>
  </r>
  <r>
    <s v="CUST1081"/>
    <x v="1"/>
    <s v="India"/>
    <s v="Tamil Nadu"/>
    <n v="9789825611"/>
    <x v="0"/>
    <s v="Dress"/>
    <n v="384.21"/>
    <n v="5"/>
    <n v="354.16"/>
    <s v="Debit Card"/>
    <n v="1921.05"/>
    <s v="Low"/>
    <s v="Low"/>
    <n v="0.18435751281851073"/>
  </r>
  <r>
    <s v="CUST1082"/>
    <x v="2"/>
    <s v="India"/>
    <s v="Maharashtra"/>
    <n v="9371462183"/>
    <x v="2"/>
    <s v="Headphones"/>
    <n v="498.41"/>
    <n v="7"/>
    <n v="435.36"/>
    <s v="UPI"/>
    <n v="3488.87"/>
    <s v="Low"/>
    <s v="Low"/>
    <n v="0.12478538896548165"/>
  </r>
  <r>
    <s v="CUST1083"/>
    <x v="3"/>
    <s v="India"/>
    <s v="Maharashtra"/>
    <n v="9444893207"/>
    <x v="0"/>
    <s v="Dress"/>
    <n v="1599.24"/>
    <n v="10"/>
    <n v="4368.75"/>
    <s v="UPI"/>
    <n v="15992.4"/>
    <s v="High"/>
    <s v="High"/>
    <n v="0.27317663390110303"/>
  </r>
  <r>
    <s v="CUST1084"/>
    <x v="0"/>
    <s v="India"/>
    <s v="Rajasthan"/>
    <n v="9339358166"/>
    <x v="1"/>
    <s v="Sofa"/>
    <n v="962.07"/>
    <n v="9"/>
    <n v="905.89"/>
    <s v="UPI"/>
    <n v="8658.6299999999992"/>
    <s v="Medium"/>
    <s v="Medium"/>
    <n v="0.10462278674570918"/>
  </r>
  <r>
    <s v="CUST1085"/>
    <x v="0"/>
    <s v="India"/>
    <s v="West Bengal"/>
    <n v="9119201960"/>
    <x v="1"/>
    <s v="Bookshelf"/>
    <n v="1673.22"/>
    <n v="7"/>
    <n v="1935.04"/>
    <s v="Debit Card"/>
    <n v="11712.54"/>
    <s v="High"/>
    <s v="Medium"/>
    <n v="0.16521096192627729"/>
  </r>
  <r>
    <s v="CUST1086"/>
    <x v="0"/>
    <s v="India"/>
    <s v="Tamil Nadu"/>
    <n v="9161700373"/>
    <x v="0"/>
    <s v="T-shirt"/>
    <n v="791.24"/>
    <n v="4"/>
    <n v="366.17"/>
    <s v="UPI"/>
    <n v="3164.96"/>
    <s v="Low"/>
    <s v="Low"/>
    <n v="0.11569498508669936"/>
  </r>
  <r>
    <s v="CUST1087"/>
    <x v="1"/>
    <s v="India"/>
    <s v="Uttar Pradesh"/>
    <n v="9242580997"/>
    <x v="0"/>
    <s v="Jeans"/>
    <n v="1210.8599999999999"/>
    <n v="3"/>
    <n v="698.75"/>
    <s v="UPI"/>
    <n v="3632.58"/>
    <s v="Low"/>
    <s v="Low"/>
    <n v="0.19235639683090255"/>
  </r>
  <r>
    <s v="CUST1088"/>
    <x v="3"/>
    <s v="India"/>
    <s v="Gujarat"/>
    <n v="9370714466"/>
    <x v="0"/>
    <s v="T-shirt"/>
    <n v="619.57000000000005"/>
    <n v="7"/>
    <n v="562.75"/>
    <s v="UPI"/>
    <n v="4336.99"/>
    <s v="Low"/>
    <s v="Low"/>
    <n v="0.12975589060615772"/>
  </r>
  <r>
    <s v="CUST1089"/>
    <x v="0"/>
    <s v="India"/>
    <s v="Maharashtra"/>
    <n v="9427647839"/>
    <x v="2"/>
    <s v="Monitor"/>
    <n v="308.5"/>
    <n v="15"/>
    <n v="802.96"/>
    <s v="Credit Card"/>
    <n v="4627.5"/>
    <s v="Low"/>
    <s v="Low"/>
    <n v="0.17351917882225826"/>
  </r>
  <r>
    <s v="CUST1090"/>
    <x v="2"/>
    <s v="India"/>
    <s v="Maharashtra"/>
    <n v="9942075195"/>
    <x v="0"/>
    <s v="Dress"/>
    <n v="1853.37"/>
    <n v="5"/>
    <n v="1661.2"/>
    <s v="Credit Card"/>
    <n v="9266.85"/>
    <s v="Medium"/>
    <s v="Medium"/>
    <n v="0.17926264048732851"/>
  </r>
  <r>
    <s v="CUST1091"/>
    <x v="1"/>
    <s v="India"/>
    <s v="Rajasthan"/>
    <n v="9857569233"/>
    <x v="0"/>
    <s v="Jacket"/>
    <n v="2501.48"/>
    <n v="6"/>
    <n v="4142.5200000000004"/>
    <s v="Net Banking"/>
    <n v="15008.88"/>
    <s v="High"/>
    <s v="High"/>
    <n v="0.27600460527367798"/>
  </r>
  <r>
    <s v="CUST1092"/>
    <x v="1"/>
    <s v="India"/>
    <s v="Karnataka"/>
    <n v="9944969047"/>
    <x v="2"/>
    <s v="Laptop"/>
    <n v="2596.13"/>
    <n v="5"/>
    <n v="1453.33"/>
    <s v="Net Banking"/>
    <n v="12980.65"/>
    <s v="High"/>
    <s v="Medium"/>
    <n v="0.11196126542199349"/>
  </r>
  <r>
    <s v="CUST1093"/>
    <x v="0"/>
    <s v="India"/>
    <s v="West Bengal"/>
    <n v="56428436"/>
    <x v="2"/>
    <s v="Headphones"/>
    <n v="2209.52"/>
    <n v="6"/>
    <n v="3760.49"/>
    <s v="Net Banking"/>
    <n v="13257.12"/>
    <s v="High"/>
    <s v="Medium"/>
    <n v="0.28365813992782746"/>
  </r>
  <r>
    <s v="CUST1094"/>
    <x v="2"/>
    <s v="India"/>
    <s v="Gujarat"/>
    <n v="9705241364"/>
    <x v="1"/>
    <s v="Sofa"/>
    <n v="458.7"/>
    <n v="7"/>
    <n v="839.97"/>
    <s v="Net Banking"/>
    <n v="3210.9"/>
    <s v="Low"/>
    <s v="Low"/>
    <n v="0.26159955152760911"/>
  </r>
  <r>
    <s v="CUST1095"/>
    <x v="2"/>
    <s v="India"/>
    <s v="Karnataka"/>
    <n v="9245776255"/>
    <x v="0"/>
    <s v="Jeans"/>
    <n v="833.16"/>
    <n v="12"/>
    <n v="2135.63"/>
    <s v="Net Banking"/>
    <n v="9997.92"/>
    <s v="Medium"/>
    <s v="Medium"/>
    <n v="0.21360743034551188"/>
  </r>
  <r>
    <s v="CUST1096"/>
    <x v="2"/>
    <s v="India"/>
    <s v="Uttar Pradesh"/>
    <n v="9881212856"/>
    <x v="0"/>
    <s v="Jeans"/>
    <n v="238.37"/>
    <n v="13"/>
    <n v="586.94000000000005"/>
    <s v="Net Banking"/>
    <n v="3098.81"/>
    <s v="Low"/>
    <s v="Low"/>
    <n v="0.189408192176997"/>
  </r>
  <r>
    <s v="CUST1097"/>
    <x v="0"/>
    <s v="India"/>
    <s v="Gujarat"/>
    <n v="9916091858"/>
    <x v="0"/>
    <s v="Dress"/>
    <n v="820.05"/>
    <n v="3"/>
    <n v="419.41"/>
    <s v="UPI"/>
    <n v="2460.15"/>
    <s v="Low"/>
    <s v="Low"/>
    <n v="0.17048147470682684"/>
  </r>
  <r>
    <s v="CUST1098"/>
    <x v="3"/>
    <s v="India"/>
    <s v="Karnataka"/>
    <n v="9425191872"/>
    <x v="2"/>
    <s v="Headphones"/>
    <n v="2716.33"/>
    <n v="8"/>
    <n v="5513.14"/>
    <s v="Net Banking"/>
    <n v="21730.639999999999"/>
    <s v="High"/>
    <s v="High"/>
    <n v="0.25370352644929006"/>
  </r>
  <r>
    <s v="CUST1099"/>
    <x v="3"/>
    <s v="India"/>
    <s v="Uttar Pradesh"/>
    <n v="9459337548"/>
    <x v="0"/>
    <s v="Jacket"/>
    <n v="1918.81"/>
    <n v="1"/>
    <n v="442.75"/>
    <s v="Cash"/>
    <n v="1918.81"/>
    <s v="Low"/>
    <s v="Low"/>
    <n v="0.230741970283665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223A67-FE24-4EF0-9549-2C81734538C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44:R248"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pivotField numFmtId="10" showAll="0"/>
  </pivotFields>
  <rowFields count="1">
    <field x="5"/>
  </rowFields>
  <rowItems count="4">
    <i>
      <x/>
    </i>
    <i>
      <x v="1"/>
    </i>
    <i>
      <x v="2"/>
    </i>
    <i t="grand">
      <x/>
    </i>
  </rowItems>
  <colItems count="1">
    <i/>
  </colItems>
  <dataFields count="1">
    <dataField name="Average of Units Sold" fld="8"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92880-DD6F-4F26-8560-3A5CC3DF2FE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35:S240" firstHeaderRow="0" firstDataRow="1" firstDataCol="1"/>
  <pivotFields count="15">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numFmtId="10" showAll="0"/>
  </pivotFields>
  <rowFields count="1">
    <field x="1"/>
  </rowFields>
  <rowItems count="5">
    <i>
      <x/>
    </i>
    <i>
      <x v="1"/>
    </i>
    <i>
      <x v="2"/>
    </i>
    <i>
      <x v="3"/>
    </i>
    <i t="grand">
      <x/>
    </i>
  </rowItems>
  <colFields count="1">
    <field x="-2"/>
  </colFields>
  <colItems count="2">
    <i>
      <x/>
    </i>
    <i i="1">
      <x v="1"/>
    </i>
  </colItems>
  <dataFields count="2">
    <dataField name="Sum of Revenue" fld="11"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8DB5DD-1CE6-4465-AB44-286DD7478F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8:M55" firstHeaderRow="1" firstDataRow="1" firstDataCol="1"/>
  <pivotFields count="10">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axis="axisRow" showAll="0">
      <items count="5">
        <item x="0"/>
        <item x="1"/>
        <item x="3"/>
        <item x="2"/>
        <item t="default"/>
      </items>
    </pivotField>
    <pivotField showAll="0"/>
    <pivotField axis="axisRow" showAll="0">
      <items count="5">
        <item x="1"/>
        <item x="2"/>
        <item x="0"/>
        <item x="3"/>
        <item t="default"/>
      </items>
    </pivotField>
    <pivotField axis="axisRow" showAll="0" sortType="ascending">
      <items count="7">
        <item sd="0" x="2"/>
        <item sd="0" x="1"/>
        <item sd="0" x="4"/>
        <item sd="0" x="0"/>
        <item sd="0" x="5"/>
        <item sd="0" x="3"/>
        <item t="default"/>
      </items>
    </pivotField>
    <pivotField dataField="1" showAll="0"/>
  </pivotFields>
  <rowFields count="4">
    <field x="8"/>
    <field x="7"/>
    <field x="5"/>
    <field x="0"/>
  </rowFields>
  <rowItems count="7">
    <i>
      <x/>
    </i>
    <i>
      <x v="1"/>
    </i>
    <i>
      <x v="2"/>
    </i>
    <i>
      <x v="3"/>
    </i>
    <i>
      <x v="4"/>
    </i>
    <i>
      <x v="5"/>
    </i>
    <i t="grand">
      <x/>
    </i>
  </rowItems>
  <colItems count="1">
    <i/>
  </colItems>
  <dataFields count="1">
    <dataField name="Sum of Casualti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69949-6AB9-477A-8665-ACBC96815501}">
  <dimension ref="A1"/>
  <sheetViews>
    <sheetView workbookViewId="0">
      <selection activeCell="C8" sqref="A3:C8"/>
    </sheetView>
  </sheetViews>
  <sheetFormatPr defaultRowHeight="14.5"/>
  <cols>
    <col min="1" max="1" width="12.36328125" bestFit="1" customWidth="1"/>
    <col min="2" max="2" width="14.36328125" bestFit="1" customWidth="1"/>
    <col min="3" max="3" width="11.816406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9377-536E-4DDE-9F5A-14A6BA3B4C42}">
  <sheetPr codeName="Sheet1"/>
  <dimension ref="A1:Z1000"/>
  <sheetViews>
    <sheetView tabSelected="1" zoomScale="68" workbookViewId="0">
      <selection activeCell="Q244" sqref="Q244"/>
    </sheetView>
  </sheetViews>
  <sheetFormatPr defaultRowHeight="14.5"/>
  <cols>
    <col min="1" max="1" width="13.81640625" customWidth="1"/>
    <col min="2" max="2" width="20.453125" customWidth="1"/>
    <col min="3" max="3" width="16.6328125" customWidth="1"/>
    <col min="5" max="5" width="13.6328125" bestFit="1" customWidth="1"/>
    <col min="12" max="12" width="17.81640625" bestFit="1" customWidth="1"/>
    <col min="13" max="13" width="15.6328125" bestFit="1" customWidth="1"/>
    <col min="14" max="14" width="14.81640625" customWidth="1"/>
    <col min="15" max="15" width="7.453125" bestFit="1" customWidth="1"/>
    <col min="17" max="17" width="13.453125" bestFit="1" customWidth="1"/>
    <col min="18" max="18" width="18.90625" bestFit="1" customWidth="1"/>
    <col min="19" max="19" width="11.81640625" bestFit="1" customWidth="1"/>
  </cols>
  <sheetData>
    <row r="1" spans="1:26" ht="15" thickBot="1">
      <c r="A1" s="1" t="s">
        <v>0</v>
      </c>
      <c r="B1" s="2"/>
      <c r="C1" s="2"/>
      <c r="D1" s="2"/>
      <c r="E1" s="2"/>
      <c r="F1" s="2"/>
      <c r="G1" s="2"/>
      <c r="H1" s="2"/>
      <c r="I1" s="2"/>
      <c r="J1" s="2"/>
      <c r="K1" s="2"/>
      <c r="L1" s="2"/>
      <c r="M1" s="2"/>
      <c r="N1" s="2"/>
      <c r="O1" s="2"/>
      <c r="P1" s="2"/>
      <c r="Q1" s="2"/>
      <c r="R1" s="2"/>
      <c r="S1" s="2"/>
      <c r="T1" s="2"/>
      <c r="U1" s="2"/>
      <c r="V1" s="2"/>
      <c r="W1" s="2"/>
      <c r="X1" s="2"/>
      <c r="Y1" s="2"/>
      <c r="Z1" s="2"/>
    </row>
    <row r="2" spans="1:26" ht="357" customHeight="1" thickBot="1">
      <c r="A2" s="23" t="s">
        <v>1</v>
      </c>
      <c r="B2" s="24"/>
      <c r="C2" s="24"/>
      <c r="D2" s="24"/>
      <c r="E2" s="24"/>
      <c r="F2" s="24"/>
      <c r="G2" s="24"/>
      <c r="H2" s="24"/>
      <c r="I2" s="24"/>
      <c r="J2" s="24"/>
      <c r="K2" s="24"/>
      <c r="L2" s="24"/>
      <c r="M2" s="24"/>
      <c r="N2" s="24"/>
      <c r="O2" s="24"/>
      <c r="P2" s="24"/>
      <c r="Q2" s="24"/>
      <c r="R2" s="24"/>
      <c r="S2" s="24"/>
      <c r="T2" s="24"/>
      <c r="U2" s="24"/>
      <c r="V2" s="24"/>
      <c r="W2" s="24"/>
      <c r="X2" s="24"/>
      <c r="Y2" s="24"/>
      <c r="Z2" s="25"/>
    </row>
    <row r="3" spans="1:26" ht="15" thickBot="1">
      <c r="A3" s="2"/>
      <c r="B3" s="2"/>
      <c r="C3" s="2"/>
      <c r="D3" s="2"/>
      <c r="E3" s="2"/>
      <c r="F3" s="2"/>
      <c r="G3" s="2"/>
      <c r="H3" s="2"/>
      <c r="I3" s="2"/>
      <c r="J3" s="2"/>
      <c r="K3" s="2"/>
      <c r="L3" s="2"/>
      <c r="M3" s="2"/>
      <c r="N3" s="2"/>
      <c r="O3" s="2"/>
      <c r="P3" s="2"/>
      <c r="Q3" s="2"/>
      <c r="R3" s="2"/>
      <c r="S3" s="2"/>
      <c r="T3" s="2"/>
      <c r="U3" s="2"/>
      <c r="V3" s="2"/>
      <c r="W3" s="2"/>
      <c r="X3" s="2"/>
      <c r="Y3" s="2"/>
      <c r="Z3" s="2"/>
    </row>
    <row r="4" spans="1:26" ht="15" thickBot="1">
      <c r="A4" s="1" t="s">
        <v>2</v>
      </c>
      <c r="B4" s="2"/>
      <c r="C4" s="2"/>
      <c r="D4" s="2"/>
      <c r="E4" s="2"/>
      <c r="F4" s="2"/>
      <c r="G4" s="2"/>
      <c r="H4" s="2"/>
      <c r="I4" s="2"/>
      <c r="J4" s="2"/>
      <c r="K4" s="2"/>
      <c r="L4" s="2"/>
      <c r="M4" s="2"/>
      <c r="N4" s="2"/>
      <c r="O4" s="2"/>
      <c r="P4" s="2"/>
      <c r="Q4" s="2"/>
      <c r="R4" s="2"/>
      <c r="S4" s="2"/>
      <c r="T4" s="2"/>
      <c r="U4" s="2"/>
      <c r="V4" s="2"/>
      <c r="W4" s="2"/>
      <c r="X4" s="2"/>
      <c r="Y4" s="2"/>
      <c r="Z4" s="2"/>
    </row>
    <row r="5" spans="1:26" ht="409.5" customHeight="1" thickBot="1">
      <c r="A5" s="23" t="s">
        <v>3</v>
      </c>
      <c r="B5" s="24"/>
      <c r="C5" s="24"/>
      <c r="D5" s="24"/>
      <c r="E5" s="24"/>
      <c r="F5" s="24"/>
      <c r="G5" s="24"/>
      <c r="H5" s="24"/>
      <c r="I5" s="24"/>
      <c r="J5" s="24"/>
      <c r="K5" s="24"/>
      <c r="L5" s="24"/>
      <c r="M5" s="24"/>
      <c r="N5" s="24"/>
      <c r="O5" s="24"/>
      <c r="P5" s="24"/>
      <c r="Q5" s="24"/>
      <c r="R5" s="24"/>
      <c r="S5" s="24"/>
      <c r="T5" s="24"/>
      <c r="U5" s="24"/>
      <c r="V5" s="24"/>
      <c r="W5" s="24"/>
      <c r="X5" s="24"/>
      <c r="Y5" s="24"/>
      <c r="Z5" s="25"/>
    </row>
    <row r="6" spans="1:26" ht="15" thickBot="1">
      <c r="A6" s="2"/>
      <c r="B6" s="2"/>
      <c r="C6" s="2"/>
      <c r="D6" s="2"/>
      <c r="E6" s="2"/>
      <c r="F6" s="2"/>
      <c r="G6" s="2"/>
      <c r="H6" s="2"/>
      <c r="I6" s="2"/>
      <c r="J6" s="2"/>
      <c r="K6" s="2"/>
      <c r="L6" s="2"/>
      <c r="M6" s="2"/>
      <c r="N6" s="2"/>
      <c r="O6" s="2"/>
      <c r="P6" s="2"/>
      <c r="Q6" s="2"/>
      <c r="R6" s="2"/>
      <c r="S6" s="2"/>
      <c r="T6" s="2"/>
      <c r="U6" s="2"/>
      <c r="V6" s="2"/>
      <c r="W6" s="2"/>
      <c r="X6" s="2"/>
      <c r="Y6" s="2"/>
      <c r="Z6" s="2"/>
    </row>
    <row r="7" spans="1:26" ht="15" thickBot="1">
      <c r="A7" s="1" t="s">
        <v>4</v>
      </c>
      <c r="B7" s="2"/>
      <c r="C7" s="2"/>
      <c r="D7" s="2"/>
      <c r="E7" s="2"/>
      <c r="F7" s="2"/>
      <c r="G7" s="2"/>
      <c r="H7" s="2"/>
      <c r="I7" s="2"/>
      <c r="J7" s="2"/>
      <c r="K7" s="2"/>
      <c r="L7" s="2"/>
      <c r="M7" s="2"/>
      <c r="N7" s="2"/>
      <c r="O7" s="2"/>
      <c r="P7" s="2"/>
      <c r="Q7" s="2"/>
      <c r="R7" s="2"/>
      <c r="S7" s="2"/>
      <c r="T7" s="2"/>
      <c r="U7" s="2"/>
      <c r="V7" s="2"/>
      <c r="W7" s="2"/>
      <c r="X7" s="2"/>
      <c r="Y7" s="2"/>
      <c r="Z7" s="2"/>
    </row>
    <row r="8" spans="1:26" ht="409" customHeight="1" thickBot="1">
      <c r="A8" s="23" t="s">
        <v>5</v>
      </c>
      <c r="B8" s="24"/>
      <c r="C8" s="24"/>
      <c r="D8" s="24"/>
      <c r="E8" s="24"/>
      <c r="F8" s="24"/>
      <c r="G8" s="24"/>
      <c r="H8" s="24"/>
      <c r="I8" s="24"/>
      <c r="J8" s="24"/>
      <c r="K8" s="24"/>
      <c r="L8" s="24"/>
      <c r="M8" s="24"/>
      <c r="N8" s="24"/>
      <c r="O8" s="24"/>
      <c r="P8" s="24"/>
      <c r="Q8" s="24"/>
      <c r="R8" s="24"/>
      <c r="S8" s="24"/>
      <c r="T8" s="24"/>
      <c r="U8" s="24"/>
      <c r="V8" s="24"/>
      <c r="W8" s="24"/>
      <c r="X8" s="24"/>
      <c r="Y8" s="24"/>
      <c r="Z8" s="25"/>
    </row>
    <row r="9" spans="1:26" ht="15" thickBot="1">
      <c r="A9" s="2"/>
      <c r="B9" s="2"/>
      <c r="C9" s="2"/>
      <c r="D9" s="2"/>
      <c r="E9" s="2"/>
      <c r="F9" s="2"/>
      <c r="G9" s="2"/>
      <c r="H9" s="2"/>
      <c r="I9" s="2"/>
      <c r="J9" s="2"/>
      <c r="K9" s="2"/>
      <c r="L9" s="2"/>
      <c r="M9" s="2"/>
      <c r="N9" s="2"/>
      <c r="O9" s="2"/>
      <c r="P9" s="2"/>
      <c r="Q9" s="2"/>
      <c r="R9" s="2"/>
      <c r="S9" s="2"/>
      <c r="T9" s="2"/>
      <c r="U9" s="2"/>
      <c r="V9" s="2"/>
      <c r="W9" s="2"/>
      <c r="X9" s="2"/>
      <c r="Y9" s="2"/>
      <c r="Z9" s="2"/>
    </row>
    <row r="10" spans="1:26" ht="15" thickBot="1">
      <c r="A10" s="1"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409.6" customHeight="1" thickBot="1">
      <c r="A11" s="23" t="s">
        <v>7</v>
      </c>
      <c r="B11" s="24"/>
      <c r="C11" s="24"/>
      <c r="D11" s="24"/>
      <c r="E11" s="24"/>
      <c r="F11" s="24"/>
      <c r="G11" s="24"/>
      <c r="H11" s="24"/>
      <c r="I11" s="24"/>
      <c r="J11" s="24"/>
      <c r="K11" s="24"/>
      <c r="L11" s="24"/>
      <c r="M11" s="24"/>
      <c r="N11" s="24"/>
      <c r="O11" s="24"/>
      <c r="P11" s="24"/>
      <c r="Q11" s="24"/>
      <c r="R11" s="24"/>
      <c r="S11" s="24"/>
      <c r="T11" s="24"/>
      <c r="U11" s="24"/>
      <c r="V11" s="24"/>
      <c r="W11" s="24"/>
      <c r="X11" s="24"/>
      <c r="Y11" s="24"/>
      <c r="Z11" s="25"/>
    </row>
    <row r="12" spans="1:26" ht="15" thickBo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 thickBot="1">
      <c r="A13" s="1" t="s">
        <v>8</v>
      </c>
      <c r="B13" s="2"/>
      <c r="C13" s="2"/>
      <c r="D13" s="2"/>
      <c r="E13" s="2"/>
      <c r="F13" s="2"/>
      <c r="G13" s="2"/>
      <c r="H13" s="2"/>
      <c r="I13" s="2"/>
      <c r="J13" s="2"/>
      <c r="K13" s="2"/>
      <c r="L13" s="2"/>
      <c r="M13" s="2"/>
      <c r="N13" s="2"/>
      <c r="O13" s="2"/>
      <c r="P13" s="2"/>
      <c r="Q13" s="2"/>
      <c r="R13" s="2"/>
      <c r="S13" s="2"/>
      <c r="T13" s="2"/>
      <c r="U13" s="2"/>
      <c r="V13" s="2"/>
      <c r="W13" s="2"/>
      <c r="X13" s="2"/>
      <c r="Y13" s="2"/>
      <c r="Z13" s="2"/>
    </row>
    <row r="14" spans="1:26" ht="172" customHeight="1" thickBot="1">
      <c r="A14" s="23" t="s">
        <v>9</v>
      </c>
      <c r="B14" s="24"/>
      <c r="C14" s="24"/>
      <c r="D14" s="24"/>
      <c r="E14" s="24"/>
      <c r="F14" s="24"/>
      <c r="G14" s="24"/>
      <c r="H14" s="24"/>
      <c r="I14" s="24"/>
      <c r="J14" s="24"/>
      <c r="K14" s="24"/>
      <c r="L14" s="24"/>
      <c r="M14" s="24"/>
      <c r="N14" s="24"/>
      <c r="O14" s="24"/>
      <c r="P14" s="24"/>
      <c r="Q14" s="24"/>
      <c r="R14" s="24"/>
      <c r="S14" s="24"/>
      <c r="T14" s="24"/>
      <c r="U14" s="24"/>
      <c r="V14" s="24"/>
      <c r="W14" s="24"/>
      <c r="X14" s="24"/>
      <c r="Y14" s="24"/>
      <c r="Z14" s="25"/>
    </row>
    <row r="15" spans="1:26" ht="15" thickBot="1">
      <c r="A15" s="3" t="s">
        <v>10</v>
      </c>
      <c r="B15" s="3" t="s">
        <v>11</v>
      </c>
      <c r="C15" s="3" t="s">
        <v>12</v>
      </c>
      <c r="D15" s="2"/>
      <c r="E15" s="2"/>
      <c r="F15" s="2"/>
      <c r="G15" s="2"/>
      <c r="H15" s="2"/>
      <c r="I15" s="2"/>
      <c r="J15" s="2"/>
      <c r="K15" s="2"/>
      <c r="L15" s="2"/>
      <c r="M15" s="2"/>
      <c r="N15" s="2"/>
      <c r="O15" s="2"/>
      <c r="P15" s="2"/>
      <c r="Q15" s="2"/>
      <c r="R15" s="2"/>
      <c r="S15" s="2"/>
      <c r="T15" s="2"/>
      <c r="U15" s="2"/>
      <c r="V15" s="2"/>
      <c r="W15" s="2"/>
      <c r="X15" s="2"/>
      <c r="Y15" s="2"/>
      <c r="Z15" s="2"/>
    </row>
    <row r="16" spans="1:26" ht="40" thickBot="1">
      <c r="A16" s="4" t="s">
        <v>13</v>
      </c>
      <c r="B16" s="3" t="s">
        <v>14</v>
      </c>
      <c r="C16" s="4" t="s">
        <v>15</v>
      </c>
      <c r="D16" s="2"/>
      <c r="E16" s="2"/>
      <c r="F16" s="2"/>
      <c r="G16" s="2"/>
      <c r="H16" s="2"/>
      <c r="I16" s="2"/>
      <c r="J16" s="2"/>
      <c r="K16" s="2"/>
      <c r="L16" s="2"/>
      <c r="M16" s="2"/>
      <c r="N16" s="2"/>
      <c r="O16" s="2"/>
      <c r="P16" s="2"/>
      <c r="Q16" s="2"/>
      <c r="R16" s="2"/>
      <c r="S16" s="2"/>
      <c r="T16" s="2"/>
      <c r="U16" s="2"/>
      <c r="V16" s="2"/>
      <c r="W16" s="2"/>
      <c r="X16" s="2"/>
      <c r="Y16" s="2"/>
      <c r="Z16" s="2"/>
    </row>
    <row r="17" spans="1:26" ht="27" thickBot="1">
      <c r="A17" s="4" t="s">
        <v>16</v>
      </c>
      <c r="B17" s="3" t="s">
        <v>17</v>
      </c>
      <c r="C17" s="3" t="s">
        <v>18</v>
      </c>
      <c r="D17" s="2"/>
      <c r="E17" s="2"/>
      <c r="F17" s="2"/>
      <c r="G17" s="2"/>
      <c r="H17" s="2"/>
      <c r="I17" s="2"/>
      <c r="J17" s="2"/>
      <c r="K17" s="2"/>
      <c r="L17" s="2"/>
      <c r="M17" s="2"/>
      <c r="N17" s="2"/>
      <c r="O17" s="2"/>
      <c r="P17" s="2"/>
      <c r="Q17" s="2"/>
      <c r="R17" s="2"/>
      <c r="S17" s="2"/>
      <c r="T17" s="2"/>
      <c r="U17" s="2"/>
      <c r="V17" s="2"/>
      <c r="W17" s="2"/>
      <c r="X17" s="2"/>
      <c r="Y17" s="2"/>
      <c r="Z17" s="2"/>
    </row>
    <row r="18" spans="1:26" ht="27" thickBot="1">
      <c r="A18" s="4" t="s">
        <v>19</v>
      </c>
      <c r="B18" s="3" t="s">
        <v>20</v>
      </c>
      <c r="C18" s="4" t="s">
        <v>21</v>
      </c>
      <c r="D18" s="2"/>
      <c r="E18" s="2"/>
      <c r="F18" s="2"/>
      <c r="G18" s="2"/>
      <c r="H18" s="2"/>
      <c r="I18" s="2"/>
      <c r="J18" s="2"/>
      <c r="K18" s="2"/>
      <c r="L18" s="2"/>
      <c r="M18" s="2"/>
      <c r="N18" s="2"/>
      <c r="O18" s="2"/>
      <c r="P18" s="2"/>
      <c r="Q18" s="2"/>
      <c r="R18" s="2"/>
      <c r="S18" s="2"/>
      <c r="T18" s="2"/>
      <c r="U18" s="2"/>
      <c r="V18" s="2"/>
      <c r="W18" s="2"/>
      <c r="X18" s="2"/>
      <c r="Y18" s="2"/>
      <c r="Z18" s="2"/>
    </row>
    <row r="19" spans="1:26" ht="40" thickBot="1">
      <c r="A19" s="4" t="s">
        <v>22</v>
      </c>
      <c r="B19" s="3" t="s">
        <v>23</v>
      </c>
      <c r="C19" s="4" t="s">
        <v>24</v>
      </c>
      <c r="D19" s="2"/>
      <c r="E19" s="2"/>
      <c r="F19" s="2"/>
      <c r="G19" s="2"/>
      <c r="H19" s="2"/>
      <c r="I19" s="2"/>
      <c r="J19" s="2"/>
      <c r="K19" s="2"/>
      <c r="L19" s="2"/>
      <c r="M19" s="2"/>
      <c r="N19" s="2"/>
      <c r="O19" s="2"/>
      <c r="P19" s="2"/>
      <c r="Q19" s="2"/>
      <c r="R19" s="2"/>
      <c r="S19" s="2"/>
      <c r="T19" s="2"/>
      <c r="U19" s="2"/>
      <c r="V19" s="2"/>
      <c r="W19" s="2"/>
      <c r="X19" s="2"/>
      <c r="Y19" s="2"/>
      <c r="Z19" s="2"/>
    </row>
    <row r="20" spans="1:26" ht="39" thickBot="1">
      <c r="A20" s="4" t="s">
        <v>25</v>
      </c>
      <c r="B20" s="3" t="s">
        <v>26</v>
      </c>
      <c r="C20" s="3" t="s">
        <v>27</v>
      </c>
      <c r="D20" s="2"/>
      <c r="E20" s="2"/>
      <c r="F20" s="2"/>
      <c r="G20" s="2"/>
      <c r="H20" s="2"/>
      <c r="I20" s="2"/>
      <c r="J20" s="2"/>
      <c r="K20" s="2"/>
      <c r="L20" s="2"/>
      <c r="M20" s="2"/>
      <c r="N20" s="2"/>
      <c r="O20" s="2"/>
      <c r="P20" s="2"/>
      <c r="Q20" s="2"/>
      <c r="R20" s="2"/>
      <c r="S20" s="2"/>
      <c r="T20" s="2"/>
      <c r="U20" s="2"/>
      <c r="V20" s="2"/>
      <c r="W20" s="2"/>
      <c r="X20" s="2"/>
      <c r="Y20" s="2"/>
      <c r="Z20" s="2"/>
    </row>
    <row r="21" spans="1:26" ht="15" thickBot="1">
      <c r="A21" s="1" t="s">
        <v>28</v>
      </c>
      <c r="B21" s="2"/>
      <c r="C21" s="2"/>
      <c r="D21" s="2"/>
      <c r="E21" s="2"/>
      <c r="F21" s="2"/>
      <c r="G21" s="2"/>
      <c r="H21" s="2"/>
      <c r="I21" s="2"/>
      <c r="J21" s="2"/>
      <c r="K21" s="2"/>
      <c r="L21" s="2"/>
      <c r="M21" s="2"/>
      <c r="N21" s="2"/>
      <c r="O21" s="2"/>
      <c r="P21" s="2"/>
      <c r="Q21" s="2"/>
      <c r="R21" s="2"/>
      <c r="S21" s="2"/>
      <c r="T21" s="2"/>
      <c r="U21" s="2"/>
      <c r="V21" s="2"/>
      <c r="W21" s="2"/>
      <c r="X21" s="2"/>
      <c r="Y21" s="2"/>
      <c r="Z21" s="2"/>
    </row>
    <row r="22" spans="1:26" ht="15" thickBo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 thickBot="1">
      <c r="A23" s="1" t="s">
        <v>29</v>
      </c>
      <c r="B23" s="2"/>
      <c r="C23" s="2"/>
      <c r="D23" s="2"/>
      <c r="E23" s="2"/>
      <c r="F23" s="2"/>
      <c r="G23" s="2"/>
      <c r="H23" s="2"/>
      <c r="I23" s="2"/>
      <c r="J23" s="2"/>
      <c r="K23" s="2"/>
      <c r="L23" s="2"/>
      <c r="M23" s="2"/>
      <c r="N23" s="2"/>
      <c r="O23" s="2"/>
      <c r="P23" s="2"/>
      <c r="Q23" s="2"/>
      <c r="R23" s="2"/>
      <c r="S23" s="2"/>
      <c r="T23" s="2"/>
      <c r="U23" s="2"/>
      <c r="V23" s="2"/>
      <c r="W23" s="2"/>
      <c r="X23" s="2"/>
      <c r="Y23" s="2"/>
      <c r="Z23" s="2"/>
    </row>
    <row r="24" spans="1:26" ht="15" thickBot="1">
      <c r="A24" s="5" t="s">
        <v>30</v>
      </c>
      <c r="B24" s="6"/>
      <c r="C24" s="6"/>
      <c r="D24" s="6"/>
      <c r="E24" s="2"/>
      <c r="F24" s="2"/>
      <c r="G24" s="2"/>
      <c r="H24" s="2"/>
      <c r="I24" s="2"/>
      <c r="J24" s="2"/>
      <c r="K24" s="2"/>
      <c r="L24" s="2"/>
      <c r="M24" s="2"/>
      <c r="N24" s="2"/>
      <c r="O24" s="2"/>
      <c r="P24" s="2"/>
      <c r="Q24" s="2"/>
      <c r="R24" s="2"/>
      <c r="S24" s="2"/>
      <c r="T24" s="2"/>
      <c r="U24" s="2"/>
      <c r="V24" s="2"/>
      <c r="W24" s="2"/>
      <c r="X24" s="2"/>
      <c r="Y24" s="2"/>
      <c r="Z24" s="2"/>
    </row>
    <row r="25" spans="1:26" ht="26.5" thickBot="1">
      <c r="A25" s="7" t="s">
        <v>31</v>
      </c>
      <c r="B25" s="8" t="s">
        <v>32</v>
      </c>
      <c r="C25" s="8" t="s">
        <v>33</v>
      </c>
      <c r="D25" s="8" t="s">
        <v>34</v>
      </c>
      <c r="E25" s="2"/>
      <c r="F25" s="2"/>
      <c r="G25" s="2"/>
      <c r="H25" s="2"/>
      <c r="I25" s="2"/>
      <c r="J25" s="2"/>
      <c r="K25" s="2"/>
      <c r="L25" s="2"/>
      <c r="M25" s="2"/>
      <c r="N25" s="2"/>
      <c r="O25" s="2"/>
      <c r="P25" s="2"/>
      <c r="Q25" s="2"/>
      <c r="R25" s="2"/>
      <c r="S25" s="2"/>
      <c r="T25" s="2"/>
      <c r="U25" s="2"/>
      <c r="V25" s="2"/>
      <c r="W25" s="2"/>
      <c r="X25" s="2"/>
      <c r="Y25" s="2"/>
      <c r="Z25" s="2"/>
    </row>
    <row r="26" spans="1:26" ht="15" thickBot="1">
      <c r="A26" s="9">
        <v>101</v>
      </c>
      <c r="B26" s="8" t="s">
        <v>35</v>
      </c>
      <c r="C26" s="10">
        <v>42019</v>
      </c>
      <c r="D26" s="11">
        <v>46116</v>
      </c>
      <c r="E26" s="2"/>
      <c r="F26" s="2"/>
      <c r="G26" s="2"/>
      <c r="H26" s="2"/>
      <c r="I26" s="2"/>
      <c r="J26" s="2"/>
      <c r="K26" s="2"/>
      <c r="L26" s="2"/>
      <c r="M26" s="2"/>
      <c r="N26" s="2"/>
      <c r="O26" s="2"/>
      <c r="P26" s="2"/>
      <c r="Q26" s="2"/>
      <c r="R26" s="2"/>
      <c r="S26" s="2"/>
      <c r="T26" s="2"/>
      <c r="U26" s="2"/>
      <c r="V26" s="2"/>
      <c r="W26" s="2"/>
      <c r="X26" s="2"/>
      <c r="Y26" s="2"/>
      <c r="Z26" s="2"/>
    </row>
    <row r="27" spans="1:26" ht="15" thickBot="1">
      <c r="A27" s="9">
        <v>102</v>
      </c>
      <c r="B27" s="8" t="s">
        <v>36</v>
      </c>
      <c r="C27" s="10">
        <v>43181</v>
      </c>
      <c r="D27" s="11">
        <v>46116</v>
      </c>
      <c r="E27" s="2"/>
      <c r="F27" s="2"/>
      <c r="G27" s="2"/>
      <c r="H27" s="2"/>
      <c r="I27" s="2"/>
      <c r="J27" s="2"/>
      <c r="K27" s="2"/>
      <c r="L27" s="2"/>
      <c r="M27" s="2"/>
      <c r="N27" s="2"/>
      <c r="O27" s="2"/>
      <c r="P27" s="2"/>
      <c r="Q27" s="2"/>
      <c r="R27" s="2"/>
      <c r="S27" s="2"/>
      <c r="T27" s="2"/>
      <c r="U27" s="2"/>
      <c r="V27" s="2"/>
      <c r="W27" s="2"/>
      <c r="X27" s="2"/>
      <c r="Y27" s="2"/>
      <c r="Z27" s="2"/>
    </row>
    <row r="28" spans="1:26" ht="15" thickBot="1">
      <c r="A28" s="9">
        <v>103</v>
      </c>
      <c r="B28" s="8" t="s">
        <v>37</v>
      </c>
      <c r="C28" s="10">
        <v>44145</v>
      </c>
      <c r="D28" s="11">
        <v>46116</v>
      </c>
      <c r="E28" s="2"/>
      <c r="F28" s="2"/>
      <c r="G28" s="2"/>
      <c r="H28" s="2"/>
      <c r="I28" s="2"/>
      <c r="J28" s="2"/>
      <c r="K28" s="2"/>
      <c r="L28" s="2"/>
      <c r="M28" s="2"/>
      <c r="N28" s="2"/>
      <c r="O28" s="2"/>
      <c r="P28" s="2"/>
      <c r="Q28" s="2"/>
      <c r="R28" s="2"/>
      <c r="S28" s="2"/>
      <c r="T28" s="2"/>
      <c r="U28" s="2"/>
      <c r="V28" s="2"/>
      <c r="W28" s="2"/>
      <c r="X28" s="2"/>
      <c r="Y28" s="2"/>
      <c r="Z28" s="2"/>
    </row>
    <row r="29" spans="1:26" ht="15" thickBot="1">
      <c r="A29" s="9">
        <v>104</v>
      </c>
      <c r="B29" s="8" t="s">
        <v>38</v>
      </c>
      <c r="C29" s="10">
        <v>41095</v>
      </c>
      <c r="D29" s="11">
        <v>46116</v>
      </c>
      <c r="E29" s="2"/>
      <c r="F29" s="2"/>
      <c r="G29" s="2"/>
      <c r="H29" s="2"/>
      <c r="I29" s="2"/>
      <c r="J29" s="2"/>
      <c r="K29" s="2"/>
      <c r="L29" s="2"/>
      <c r="M29" s="2"/>
      <c r="N29" s="2"/>
      <c r="O29" s="2"/>
      <c r="P29" s="2"/>
      <c r="Q29" s="2"/>
      <c r="R29" s="2"/>
      <c r="S29" s="2"/>
      <c r="T29" s="2"/>
      <c r="U29" s="2"/>
      <c r="V29" s="2"/>
      <c r="W29" s="2"/>
      <c r="X29" s="2"/>
      <c r="Y29" s="2"/>
      <c r="Z29" s="2"/>
    </row>
    <row r="30" spans="1:26" ht="15" thickBot="1">
      <c r="A30" s="9">
        <v>105</v>
      </c>
      <c r="B30" s="8" t="s">
        <v>39</v>
      </c>
      <c r="C30" s="10">
        <v>43738</v>
      </c>
      <c r="D30" s="11">
        <v>46116</v>
      </c>
      <c r="E30" s="2"/>
      <c r="F30" s="2"/>
      <c r="G30" s="2"/>
      <c r="H30" s="2"/>
      <c r="I30" s="2"/>
      <c r="J30" s="2"/>
      <c r="K30" s="2"/>
      <c r="L30" s="2"/>
      <c r="M30" s="2"/>
      <c r="N30" s="2"/>
      <c r="O30" s="2"/>
      <c r="P30" s="2"/>
      <c r="Q30" s="2"/>
      <c r="R30" s="2"/>
      <c r="S30" s="2"/>
      <c r="T30" s="2"/>
      <c r="U30" s="2"/>
      <c r="V30" s="2"/>
      <c r="W30" s="2"/>
      <c r="X30" s="2"/>
      <c r="Y30" s="2"/>
      <c r="Z30" s="2"/>
    </row>
    <row r="31" spans="1:26" ht="15" thickBot="1">
      <c r="A31" s="9">
        <v>106</v>
      </c>
      <c r="B31" s="8" t="s">
        <v>40</v>
      </c>
      <c r="C31" s="10">
        <v>44239</v>
      </c>
      <c r="D31" s="11">
        <v>46116</v>
      </c>
      <c r="E31" s="2"/>
      <c r="F31" s="2"/>
      <c r="G31" s="2"/>
      <c r="H31" s="2"/>
      <c r="I31" s="2"/>
      <c r="J31" s="2"/>
      <c r="K31" s="2"/>
      <c r="L31" s="2"/>
      <c r="M31" s="2"/>
      <c r="N31" s="2"/>
      <c r="O31" s="2"/>
      <c r="P31" s="2"/>
      <c r="Q31" s="2"/>
      <c r="R31" s="2"/>
      <c r="S31" s="2"/>
      <c r="T31" s="2"/>
      <c r="U31" s="2"/>
      <c r="V31" s="2"/>
      <c r="W31" s="2"/>
      <c r="X31" s="2"/>
      <c r="Y31" s="2"/>
      <c r="Z31" s="2"/>
    </row>
    <row r="32" spans="1:26" ht="15" thickBot="1">
      <c r="A32" s="9">
        <v>107</v>
      </c>
      <c r="B32" s="8" t="s">
        <v>41</v>
      </c>
      <c r="C32" s="10">
        <v>42600</v>
      </c>
      <c r="D32" s="11">
        <v>46116</v>
      </c>
      <c r="E32" s="2"/>
      <c r="F32" s="2"/>
      <c r="G32" s="2"/>
      <c r="H32" s="2"/>
      <c r="I32" s="2"/>
      <c r="J32" s="2"/>
      <c r="K32" s="2"/>
      <c r="L32" s="2"/>
      <c r="M32" s="2"/>
      <c r="N32" s="2"/>
      <c r="O32" s="2"/>
      <c r="P32" s="2"/>
      <c r="Q32" s="2"/>
      <c r="R32" s="2"/>
      <c r="S32" s="2"/>
      <c r="T32" s="2"/>
      <c r="U32" s="2"/>
      <c r="V32" s="2"/>
      <c r="W32" s="2"/>
      <c r="X32" s="2"/>
      <c r="Y32" s="2"/>
      <c r="Z32" s="2"/>
    </row>
    <row r="33" spans="1:26" ht="15" thickBot="1">
      <c r="A33" s="9">
        <v>108</v>
      </c>
      <c r="B33" s="8" t="s">
        <v>42</v>
      </c>
      <c r="C33" s="10">
        <v>44706</v>
      </c>
      <c r="D33" s="11">
        <v>46116</v>
      </c>
      <c r="E33" s="2"/>
      <c r="F33" s="2"/>
      <c r="G33" s="2"/>
      <c r="H33" s="2"/>
      <c r="I33" s="2"/>
      <c r="J33" s="2"/>
      <c r="K33" s="2"/>
      <c r="L33" s="2"/>
      <c r="M33" s="2"/>
      <c r="N33" s="2"/>
      <c r="O33" s="2"/>
      <c r="P33" s="2"/>
      <c r="Q33" s="2"/>
      <c r="R33" s="2"/>
      <c r="S33" s="2"/>
      <c r="T33" s="2"/>
      <c r="U33" s="2"/>
      <c r="V33" s="2"/>
      <c r="W33" s="2"/>
      <c r="X33" s="2"/>
      <c r="Y33" s="2"/>
      <c r="Z33" s="2"/>
    </row>
    <row r="34" spans="1:26" ht="15" thickBot="1">
      <c r="A34" s="1" t="s">
        <v>43</v>
      </c>
      <c r="B34" s="2"/>
      <c r="C34" s="2"/>
      <c r="D34" s="2"/>
      <c r="E34" s="2"/>
      <c r="F34" s="2"/>
      <c r="G34" s="2"/>
      <c r="H34" s="2"/>
      <c r="I34" s="2"/>
      <c r="J34" s="2"/>
      <c r="K34" s="2"/>
      <c r="L34" s="2"/>
      <c r="M34" s="2"/>
      <c r="N34" s="2"/>
      <c r="O34" s="2"/>
      <c r="P34" s="2"/>
      <c r="Q34" s="2"/>
      <c r="R34" s="2"/>
      <c r="S34" s="2"/>
      <c r="T34" s="2"/>
      <c r="U34" s="2"/>
      <c r="V34" s="2"/>
      <c r="W34" s="2"/>
      <c r="X34" s="2"/>
      <c r="Y34" s="2"/>
      <c r="Z34" s="2"/>
    </row>
    <row r="35" spans="1:26" ht="15" thickBot="1">
      <c r="A35" s="1" t="s">
        <v>44</v>
      </c>
      <c r="B35" s="2"/>
      <c r="C35" s="2"/>
      <c r="D35" s="2"/>
      <c r="E35" s="2"/>
      <c r="F35" s="2"/>
      <c r="G35" s="2"/>
      <c r="H35" s="2"/>
      <c r="I35" s="2"/>
      <c r="J35" s="2"/>
      <c r="K35" s="2"/>
      <c r="L35" s="2"/>
      <c r="M35" s="2"/>
      <c r="N35" s="2"/>
      <c r="O35" s="2"/>
      <c r="P35" s="2"/>
      <c r="Q35" s="2"/>
      <c r="R35" s="2"/>
      <c r="S35" s="2"/>
      <c r="T35" s="2"/>
      <c r="U35" s="2"/>
      <c r="V35" s="2"/>
      <c r="W35" s="2"/>
      <c r="X35" s="2"/>
      <c r="Y35" s="2"/>
      <c r="Z35" s="2"/>
    </row>
    <row r="36" spans="1:26" ht="15" thickBot="1">
      <c r="A36" s="5" t="s">
        <v>45</v>
      </c>
      <c r="B36" s="6"/>
      <c r="C36" s="2"/>
      <c r="D36" s="2"/>
      <c r="E36" s="2"/>
      <c r="F36" s="2"/>
      <c r="G36" s="2"/>
      <c r="H36" s="2"/>
      <c r="I36" s="2"/>
      <c r="J36" s="2"/>
      <c r="K36" s="2"/>
      <c r="L36" s="2"/>
      <c r="M36" s="2"/>
      <c r="N36" s="2"/>
      <c r="O36" s="2"/>
      <c r="P36" s="2"/>
      <c r="Q36" s="2"/>
      <c r="R36" s="2"/>
      <c r="S36" s="2"/>
      <c r="T36" s="2"/>
      <c r="U36" s="2"/>
      <c r="V36" s="2"/>
      <c r="W36" s="2"/>
      <c r="X36" s="2"/>
      <c r="Y36" s="2"/>
      <c r="Z36" s="2"/>
    </row>
    <row r="37" spans="1:26" ht="26.5" thickBot="1">
      <c r="A37" s="12" t="s">
        <v>46</v>
      </c>
      <c r="B37" s="8" t="s">
        <v>35</v>
      </c>
      <c r="C37" s="2"/>
      <c r="D37" s="2"/>
      <c r="E37" s="2"/>
      <c r="F37" s="2"/>
      <c r="G37" s="2"/>
      <c r="H37" s="2"/>
      <c r="I37" s="2"/>
      <c r="J37" s="2"/>
      <c r="K37" s="2"/>
      <c r="L37" s="2"/>
      <c r="M37" s="2"/>
      <c r="N37" s="2"/>
      <c r="O37" s="2"/>
      <c r="P37" s="2"/>
      <c r="Q37" s="2"/>
      <c r="R37" s="2"/>
      <c r="S37" s="2"/>
      <c r="T37" s="2"/>
      <c r="U37" s="2"/>
      <c r="V37" s="2"/>
      <c r="W37" s="2"/>
      <c r="X37" s="2"/>
      <c r="Y37" s="2"/>
      <c r="Z37" s="2"/>
    </row>
    <row r="38" spans="1:26" ht="26.5" thickBot="1">
      <c r="A38" s="12" t="s">
        <v>47</v>
      </c>
      <c r="B38" s="8" t="s">
        <v>36</v>
      </c>
      <c r="C38" s="2"/>
      <c r="D38" s="2"/>
      <c r="E38" s="2"/>
      <c r="F38" s="2"/>
      <c r="G38" s="2"/>
      <c r="H38" s="2"/>
      <c r="I38" s="2"/>
      <c r="J38" s="2"/>
      <c r="K38" s="2"/>
      <c r="L38" s="2"/>
      <c r="M38" s="2"/>
      <c r="N38" s="2"/>
      <c r="O38" s="2"/>
      <c r="P38" s="2"/>
      <c r="Q38" s="2"/>
      <c r="R38" s="2"/>
      <c r="S38" s="2"/>
      <c r="T38" s="2"/>
      <c r="U38" s="2"/>
      <c r="V38" s="2"/>
      <c r="W38" s="2"/>
      <c r="X38" s="2"/>
      <c r="Y38" s="2"/>
      <c r="Z38" s="2"/>
    </row>
    <row r="39" spans="1:26" ht="26.5" thickBot="1">
      <c r="A39" s="12" t="s">
        <v>48</v>
      </c>
      <c r="B39" s="8" t="s">
        <v>37</v>
      </c>
      <c r="C39" s="2"/>
      <c r="D39" s="2"/>
      <c r="E39" s="2"/>
      <c r="F39" s="2"/>
      <c r="G39" s="2"/>
      <c r="H39" s="2"/>
      <c r="I39" s="2"/>
      <c r="J39" s="2"/>
      <c r="K39" s="2"/>
      <c r="L39" s="2"/>
      <c r="M39" s="2"/>
      <c r="N39" s="2"/>
      <c r="O39" s="2"/>
      <c r="P39" s="2"/>
      <c r="Q39" s="2"/>
      <c r="R39" s="2"/>
      <c r="S39" s="2"/>
      <c r="T39" s="2"/>
      <c r="U39" s="2"/>
      <c r="V39" s="2"/>
      <c r="W39" s="2"/>
      <c r="X39" s="2"/>
      <c r="Y39" s="2"/>
      <c r="Z39" s="2"/>
    </row>
    <row r="40" spans="1:26" ht="26.5" thickBot="1">
      <c r="A40" s="12" t="s">
        <v>49</v>
      </c>
      <c r="B40" s="8" t="s">
        <v>38</v>
      </c>
      <c r="C40" s="2"/>
      <c r="D40" s="2"/>
      <c r="E40" s="2"/>
      <c r="F40" s="2"/>
      <c r="G40" s="2"/>
      <c r="H40" s="2"/>
      <c r="I40" s="2"/>
      <c r="J40" s="2"/>
      <c r="K40" s="2"/>
      <c r="L40" s="2"/>
      <c r="M40" s="2"/>
      <c r="N40" s="2"/>
      <c r="O40" s="2"/>
      <c r="P40" s="2"/>
      <c r="Q40" s="2"/>
      <c r="R40" s="2"/>
      <c r="S40" s="2"/>
      <c r="T40" s="2"/>
      <c r="U40" s="2"/>
      <c r="V40" s="2"/>
      <c r="W40" s="2"/>
      <c r="X40" s="2"/>
      <c r="Y40" s="2"/>
      <c r="Z40" s="2"/>
    </row>
    <row r="41" spans="1:26" ht="26.5" thickBot="1">
      <c r="A41" s="12" t="s">
        <v>50</v>
      </c>
      <c r="B41" s="8" t="s">
        <v>39</v>
      </c>
      <c r="C41" s="2"/>
      <c r="D41" s="2"/>
      <c r="E41" s="2"/>
      <c r="F41" s="2"/>
      <c r="G41" s="2"/>
      <c r="H41" s="2"/>
      <c r="I41" s="2"/>
      <c r="J41" s="2"/>
      <c r="K41" s="2"/>
      <c r="L41" s="2"/>
      <c r="M41" s="2"/>
      <c r="N41" s="2"/>
      <c r="O41" s="2"/>
      <c r="P41" s="2"/>
      <c r="Q41" s="2"/>
      <c r="R41" s="2"/>
      <c r="S41" s="2"/>
      <c r="T41" s="2"/>
      <c r="U41" s="2"/>
      <c r="V41" s="2"/>
      <c r="W41" s="2"/>
      <c r="X41" s="2"/>
      <c r="Y41" s="2"/>
      <c r="Z41" s="2"/>
    </row>
    <row r="42" spans="1:26" ht="26.5" thickBot="1">
      <c r="A42" s="12" t="s">
        <v>51</v>
      </c>
      <c r="B42" s="8" t="s">
        <v>40</v>
      </c>
      <c r="C42" s="2"/>
      <c r="D42" s="2"/>
      <c r="E42" s="2"/>
      <c r="F42" s="2"/>
      <c r="G42" s="2"/>
      <c r="H42" s="2"/>
      <c r="I42" s="2"/>
      <c r="J42" s="2"/>
      <c r="K42" s="2"/>
      <c r="L42" s="2"/>
      <c r="M42" s="2"/>
      <c r="N42" s="2"/>
      <c r="O42" s="2"/>
      <c r="P42" s="2"/>
      <c r="Q42" s="2"/>
      <c r="R42" s="2"/>
      <c r="S42" s="2"/>
      <c r="T42" s="2"/>
      <c r="U42" s="2"/>
      <c r="V42" s="2"/>
      <c r="W42" s="2"/>
      <c r="X42" s="2"/>
      <c r="Y42" s="2"/>
      <c r="Z42" s="2"/>
    </row>
    <row r="43" spans="1:26" ht="26.5" thickBot="1">
      <c r="A43" s="12" t="s">
        <v>52</v>
      </c>
      <c r="B43" s="8" t="s">
        <v>41</v>
      </c>
      <c r="C43" s="2"/>
      <c r="D43" s="2"/>
      <c r="E43" s="2"/>
      <c r="F43" s="2"/>
      <c r="G43" s="2"/>
      <c r="H43" s="2"/>
      <c r="I43" s="2"/>
      <c r="J43" s="2"/>
      <c r="K43" s="2"/>
      <c r="L43" s="2"/>
      <c r="M43" s="2"/>
      <c r="N43" s="2"/>
      <c r="O43" s="2"/>
      <c r="P43" s="2"/>
      <c r="Q43" s="2"/>
      <c r="R43" s="2"/>
      <c r="S43" s="2"/>
      <c r="T43" s="2"/>
      <c r="U43" s="2"/>
      <c r="V43" s="2"/>
      <c r="W43" s="2"/>
      <c r="X43" s="2"/>
      <c r="Y43" s="2"/>
      <c r="Z43" s="2"/>
    </row>
    <row r="44" spans="1:26" ht="26.5" thickBot="1">
      <c r="A44" s="12" t="s">
        <v>53</v>
      </c>
      <c r="B44" s="8" t="s">
        <v>42</v>
      </c>
      <c r="C44" s="2"/>
      <c r="D44" s="2"/>
      <c r="E44" s="2"/>
      <c r="F44" s="2"/>
      <c r="G44" s="2"/>
      <c r="H44" s="2"/>
      <c r="I44" s="2"/>
      <c r="J44" s="2"/>
      <c r="K44" s="2"/>
      <c r="L44" s="2"/>
      <c r="M44" s="2"/>
      <c r="N44" s="2"/>
      <c r="O44" s="2"/>
      <c r="P44" s="2"/>
      <c r="Q44" s="2"/>
      <c r="R44" s="2"/>
      <c r="S44" s="2"/>
      <c r="T44" s="2"/>
      <c r="U44" s="2"/>
      <c r="V44" s="2"/>
      <c r="W44" s="2"/>
      <c r="X44" s="2"/>
      <c r="Y44" s="2"/>
      <c r="Z44" s="2"/>
    </row>
    <row r="45" spans="1:26" ht="15" thickBo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 thickBot="1">
      <c r="A46" s="1" t="s">
        <v>54</v>
      </c>
      <c r="B46" s="2"/>
      <c r="C46" s="2"/>
      <c r="D46" s="2"/>
      <c r="E46" s="2"/>
      <c r="F46" s="2"/>
      <c r="G46" s="2"/>
      <c r="H46" s="2"/>
      <c r="I46" s="2"/>
      <c r="J46" s="2"/>
      <c r="K46" s="2"/>
      <c r="L46" s="2"/>
      <c r="M46" s="2"/>
      <c r="N46" s="2"/>
      <c r="O46" s="2"/>
      <c r="P46" s="2"/>
      <c r="Q46" s="2"/>
      <c r="R46" s="2"/>
      <c r="S46" s="2"/>
      <c r="T46" s="2"/>
      <c r="U46" s="2"/>
      <c r="V46" s="2"/>
      <c r="W46" s="2"/>
      <c r="X46" s="2"/>
      <c r="Y46" s="2"/>
      <c r="Z46" s="2"/>
    </row>
    <row r="47" spans="1:26" ht="15" thickBot="1">
      <c r="A47" s="6" t="s">
        <v>55</v>
      </c>
      <c r="B47" s="6"/>
      <c r="C47" s="6"/>
      <c r="D47" s="6"/>
      <c r="E47" s="6"/>
      <c r="F47" s="6"/>
      <c r="G47" s="6"/>
      <c r="H47" s="6"/>
      <c r="I47" s="6"/>
      <c r="J47" s="6"/>
      <c r="K47" s="2"/>
      <c r="L47" s="2"/>
      <c r="M47" s="2"/>
      <c r="N47" s="2"/>
      <c r="O47" s="2"/>
      <c r="P47" s="2"/>
      <c r="Q47" s="2"/>
      <c r="R47" s="2"/>
      <c r="S47" s="2"/>
      <c r="T47" s="2"/>
      <c r="U47" s="2"/>
      <c r="V47" s="2"/>
      <c r="W47" s="2"/>
      <c r="X47" s="2"/>
      <c r="Y47" s="2"/>
      <c r="Z47" s="2"/>
    </row>
    <row r="48" spans="1:26" ht="40" thickBot="1">
      <c r="A48" s="13" t="s">
        <v>56</v>
      </c>
      <c r="B48" s="14" t="s">
        <v>57</v>
      </c>
      <c r="C48" s="14" t="s">
        <v>58</v>
      </c>
      <c r="D48" s="14" t="s">
        <v>59</v>
      </c>
      <c r="E48" s="14" t="s">
        <v>60</v>
      </c>
      <c r="F48" s="14" t="s">
        <v>61</v>
      </c>
      <c r="G48" s="14" t="s">
        <v>62</v>
      </c>
      <c r="H48" s="14" t="s">
        <v>63</v>
      </c>
      <c r="I48" s="14" t="s">
        <v>64</v>
      </c>
      <c r="J48" s="14" t="s">
        <v>65</v>
      </c>
      <c r="K48" s="2"/>
      <c r="L48" s="21" t="s">
        <v>228</v>
      </c>
      <c r="M48" t="s">
        <v>230</v>
      </c>
      <c r="O48" s="2"/>
      <c r="P48" s="2"/>
      <c r="Q48" s="2"/>
      <c r="R48" s="2"/>
      <c r="S48" s="2"/>
      <c r="T48" s="2"/>
      <c r="U48" s="2"/>
      <c r="V48" s="2"/>
      <c r="W48" s="2"/>
      <c r="X48" s="2"/>
      <c r="Y48" s="2"/>
      <c r="Z48" s="2"/>
    </row>
    <row r="49" spans="1:26" ht="26.5" thickBot="1">
      <c r="A49" s="12" t="s">
        <v>66</v>
      </c>
      <c r="B49" s="15">
        <v>45292</v>
      </c>
      <c r="C49" s="16" t="s">
        <v>67</v>
      </c>
      <c r="D49" s="16" t="s">
        <v>68</v>
      </c>
      <c r="E49" s="16" t="s">
        <v>69</v>
      </c>
      <c r="F49" s="16" t="s">
        <v>70</v>
      </c>
      <c r="G49" s="16" t="s">
        <v>71</v>
      </c>
      <c r="H49" s="16" t="s">
        <v>72</v>
      </c>
      <c r="I49" s="16" t="s">
        <v>73</v>
      </c>
      <c r="J49" s="17">
        <v>0</v>
      </c>
      <c r="K49" s="2"/>
      <c r="L49" s="22" t="s">
        <v>88</v>
      </c>
      <c r="M49">
        <v>43</v>
      </c>
      <c r="O49" s="2"/>
      <c r="P49" s="2"/>
      <c r="Q49" s="2"/>
      <c r="R49" s="2"/>
      <c r="S49" s="2"/>
      <c r="T49" s="2"/>
      <c r="U49" s="2"/>
      <c r="V49" s="2"/>
      <c r="W49" s="2"/>
      <c r="X49" s="2"/>
      <c r="Y49" s="2"/>
      <c r="Z49" s="2"/>
    </row>
    <row r="50" spans="1:26" ht="26.5" thickBot="1">
      <c r="A50" s="12" t="s">
        <v>74</v>
      </c>
      <c r="B50" s="15">
        <v>45380</v>
      </c>
      <c r="C50" s="16" t="s">
        <v>75</v>
      </c>
      <c r="D50" s="16" t="s">
        <v>68</v>
      </c>
      <c r="E50" s="16" t="s">
        <v>69</v>
      </c>
      <c r="F50" s="16" t="s">
        <v>76</v>
      </c>
      <c r="G50" s="16" t="s">
        <v>77</v>
      </c>
      <c r="H50" s="16" t="s">
        <v>72</v>
      </c>
      <c r="I50" s="16" t="s">
        <v>78</v>
      </c>
      <c r="J50" s="17">
        <v>0</v>
      </c>
      <c r="K50" s="2"/>
      <c r="L50" s="22" t="s">
        <v>78</v>
      </c>
      <c r="M50">
        <v>34</v>
      </c>
      <c r="O50" s="2"/>
      <c r="P50" s="2"/>
      <c r="Q50" s="2"/>
      <c r="R50" s="2"/>
      <c r="S50" s="2"/>
      <c r="T50" s="2"/>
      <c r="U50" s="2"/>
      <c r="V50" s="2"/>
      <c r="W50" s="2"/>
      <c r="X50" s="2"/>
      <c r="Y50" s="2"/>
      <c r="Z50" s="2"/>
    </row>
    <row r="51" spans="1:26" ht="39" thickBot="1">
      <c r="A51" s="12" t="s">
        <v>79</v>
      </c>
      <c r="B51" s="15">
        <v>45296</v>
      </c>
      <c r="C51" s="16" t="s">
        <v>75</v>
      </c>
      <c r="D51" s="16" t="s">
        <v>68</v>
      </c>
      <c r="E51" s="16" t="s">
        <v>80</v>
      </c>
      <c r="F51" s="16" t="s">
        <v>81</v>
      </c>
      <c r="G51" s="16" t="s">
        <v>82</v>
      </c>
      <c r="H51" s="16" t="s">
        <v>83</v>
      </c>
      <c r="I51" s="16" t="s">
        <v>73</v>
      </c>
      <c r="J51" s="17">
        <v>3</v>
      </c>
      <c r="K51" s="2"/>
      <c r="L51" s="22" t="s">
        <v>97</v>
      </c>
      <c r="M51">
        <v>54</v>
      </c>
      <c r="O51" s="2"/>
      <c r="P51" s="2"/>
      <c r="Q51" s="2"/>
      <c r="R51" s="2"/>
      <c r="S51" s="2"/>
      <c r="T51" s="2"/>
      <c r="U51" s="2"/>
      <c r="V51" s="2"/>
      <c r="W51" s="2"/>
      <c r="X51" s="2"/>
      <c r="Y51" s="2"/>
      <c r="Z51" s="2"/>
    </row>
    <row r="52" spans="1:26" ht="26.5" thickBot="1">
      <c r="A52" s="12" t="s">
        <v>84</v>
      </c>
      <c r="B52" s="15">
        <v>45445</v>
      </c>
      <c r="C52" s="16" t="s">
        <v>85</v>
      </c>
      <c r="D52" s="16" t="s">
        <v>86</v>
      </c>
      <c r="E52" s="16" t="s">
        <v>87</v>
      </c>
      <c r="F52" s="16" t="s">
        <v>70</v>
      </c>
      <c r="G52" s="16" t="s">
        <v>71</v>
      </c>
      <c r="H52" s="16" t="s">
        <v>83</v>
      </c>
      <c r="I52" s="16" t="s">
        <v>88</v>
      </c>
      <c r="J52" s="17">
        <v>4</v>
      </c>
      <c r="K52" s="2"/>
      <c r="L52" s="22" t="s">
        <v>73</v>
      </c>
      <c r="M52">
        <v>32</v>
      </c>
      <c r="O52" s="2"/>
      <c r="P52" s="2"/>
      <c r="Q52" s="2"/>
      <c r="R52" s="2"/>
      <c r="S52" s="2"/>
      <c r="T52" s="2"/>
      <c r="U52" s="2"/>
      <c r="V52" s="2"/>
      <c r="W52" s="2"/>
      <c r="X52" s="2"/>
      <c r="Y52" s="2"/>
      <c r="Z52" s="2"/>
    </row>
    <row r="53" spans="1:26" ht="26.5" thickBot="1">
      <c r="A53" s="12" t="s">
        <v>89</v>
      </c>
      <c r="B53" s="15">
        <v>45350</v>
      </c>
      <c r="C53" s="16" t="s">
        <v>90</v>
      </c>
      <c r="D53" s="16" t="s">
        <v>91</v>
      </c>
      <c r="E53" s="16" t="s">
        <v>69</v>
      </c>
      <c r="F53" s="16" t="s">
        <v>70</v>
      </c>
      <c r="G53" s="16" t="s">
        <v>77</v>
      </c>
      <c r="H53" s="16" t="s">
        <v>72</v>
      </c>
      <c r="I53" s="16" t="s">
        <v>92</v>
      </c>
      <c r="J53" s="17">
        <v>0</v>
      </c>
      <c r="K53" s="2"/>
      <c r="L53" s="22" t="s">
        <v>100</v>
      </c>
      <c r="M53">
        <v>52</v>
      </c>
      <c r="O53" s="2"/>
      <c r="P53" s="2"/>
      <c r="Q53" s="2"/>
      <c r="R53" s="2"/>
      <c r="S53" s="2"/>
      <c r="T53" s="2"/>
      <c r="U53" s="2"/>
      <c r="V53" s="2"/>
      <c r="W53" s="2"/>
      <c r="X53" s="2"/>
      <c r="Y53" s="2"/>
      <c r="Z53" s="2"/>
    </row>
    <row r="54" spans="1:26" ht="26.5" thickBot="1">
      <c r="A54" s="12" t="s">
        <v>93</v>
      </c>
      <c r="B54" s="15">
        <v>45399</v>
      </c>
      <c r="C54" s="16" t="s">
        <v>90</v>
      </c>
      <c r="D54" s="16" t="s">
        <v>91</v>
      </c>
      <c r="E54" s="16" t="s">
        <v>94</v>
      </c>
      <c r="F54" s="16" t="s">
        <v>95</v>
      </c>
      <c r="G54" s="16" t="s">
        <v>77</v>
      </c>
      <c r="H54" s="16" t="s">
        <v>96</v>
      </c>
      <c r="I54" s="16" t="s">
        <v>97</v>
      </c>
      <c r="J54" s="17">
        <v>4</v>
      </c>
      <c r="K54" s="2"/>
      <c r="L54" s="22" t="s">
        <v>92</v>
      </c>
      <c r="M54">
        <v>37</v>
      </c>
      <c r="O54" s="2"/>
      <c r="P54" s="2"/>
      <c r="Q54" s="2"/>
      <c r="R54" s="2"/>
      <c r="S54" s="2"/>
      <c r="T54" s="2"/>
      <c r="U54" s="2"/>
      <c r="V54" s="2"/>
      <c r="W54" s="2"/>
      <c r="X54" s="2"/>
      <c r="Y54" s="2"/>
      <c r="Z54" s="2"/>
    </row>
    <row r="55" spans="1:26" ht="15" thickBot="1">
      <c r="A55" s="12" t="s">
        <v>98</v>
      </c>
      <c r="B55" s="15">
        <v>45338</v>
      </c>
      <c r="C55" s="16" t="s">
        <v>99</v>
      </c>
      <c r="D55" s="16" t="s">
        <v>91</v>
      </c>
      <c r="E55" s="16" t="s">
        <v>94</v>
      </c>
      <c r="F55" s="16" t="s">
        <v>95</v>
      </c>
      <c r="G55" s="16" t="s">
        <v>71</v>
      </c>
      <c r="H55" s="16" t="s">
        <v>96</v>
      </c>
      <c r="I55" s="16" t="s">
        <v>100</v>
      </c>
      <c r="J55" s="17">
        <v>2</v>
      </c>
      <c r="K55" s="2"/>
      <c r="L55" s="22" t="s">
        <v>229</v>
      </c>
      <c r="M55">
        <v>252</v>
      </c>
      <c r="O55" s="2"/>
      <c r="P55" s="2"/>
      <c r="Q55" s="2"/>
      <c r="R55" s="2"/>
      <c r="S55" s="2"/>
      <c r="T55" s="2"/>
      <c r="U55" s="2"/>
      <c r="V55" s="2"/>
      <c r="W55" s="2"/>
      <c r="X55" s="2"/>
      <c r="Y55" s="2"/>
      <c r="Z55" s="2"/>
    </row>
    <row r="56" spans="1:26" ht="15" thickBot="1">
      <c r="A56" s="12" t="s">
        <v>101</v>
      </c>
      <c r="B56" s="15">
        <v>45369</v>
      </c>
      <c r="C56" s="16" t="s">
        <v>67</v>
      </c>
      <c r="D56" s="16" t="s">
        <v>68</v>
      </c>
      <c r="E56" s="16" t="s">
        <v>94</v>
      </c>
      <c r="F56" s="16" t="s">
        <v>76</v>
      </c>
      <c r="G56" s="16" t="s">
        <v>102</v>
      </c>
      <c r="H56" s="16" t="s">
        <v>72</v>
      </c>
      <c r="I56" s="16" t="s">
        <v>100</v>
      </c>
      <c r="J56" s="17">
        <v>5</v>
      </c>
      <c r="K56" s="2"/>
      <c r="O56" s="2"/>
      <c r="P56" s="2"/>
      <c r="Q56" s="2"/>
      <c r="R56" s="2"/>
      <c r="S56" s="2"/>
      <c r="T56" s="2"/>
      <c r="U56" s="2"/>
      <c r="V56" s="2"/>
      <c r="W56" s="2"/>
      <c r="X56" s="2"/>
      <c r="Y56" s="2"/>
      <c r="Z56" s="2"/>
    </row>
    <row r="57" spans="1:26" ht="39" thickBot="1">
      <c r="A57" s="12" t="s">
        <v>103</v>
      </c>
      <c r="B57" s="15">
        <v>45425</v>
      </c>
      <c r="C57" s="16" t="s">
        <v>75</v>
      </c>
      <c r="D57" s="16" t="s">
        <v>86</v>
      </c>
      <c r="E57" s="16" t="s">
        <v>94</v>
      </c>
      <c r="F57" s="16" t="s">
        <v>81</v>
      </c>
      <c r="G57" s="16" t="s">
        <v>82</v>
      </c>
      <c r="H57" s="16" t="s">
        <v>96</v>
      </c>
      <c r="I57" s="16" t="s">
        <v>92</v>
      </c>
      <c r="J57" s="17">
        <v>2</v>
      </c>
      <c r="K57" s="2"/>
      <c r="O57" s="2"/>
      <c r="P57" s="2"/>
      <c r="Q57" s="2"/>
      <c r="R57" s="2"/>
      <c r="S57" s="2"/>
      <c r="T57" s="2"/>
      <c r="U57" s="2"/>
      <c r="V57" s="2"/>
      <c r="W57" s="2"/>
      <c r="X57" s="2"/>
      <c r="Y57" s="2"/>
      <c r="Z57" s="2"/>
    </row>
    <row r="58" spans="1:26" ht="39" thickBot="1">
      <c r="A58" s="12" t="s">
        <v>104</v>
      </c>
      <c r="B58" s="15">
        <v>45307</v>
      </c>
      <c r="C58" s="16" t="s">
        <v>105</v>
      </c>
      <c r="D58" s="16" t="s">
        <v>86</v>
      </c>
      <c r="E58" s="16" t="s">
        <v>106</v>
      </c>
      <c r="F58" s="16" t="s">
        <v>70</v>
      </c>
      <c r="G58" s="16" t="s">
        <v>82</v>
      </c>
      <c r="H58" s="16" t="s">
        <v>107</v>
      </c>
      <c r="I58" s="16" t="s">
        <v>100</v>
      </c>
      <c r="J58" s="17">
        <v>5</v>
      </c>
      <c r="K58" s="2"/>
      <c r="O58" s="2"/>
      <c r="P58" s="2"/>
      <c r="Q58" s="2"/>
      <c r="R58" s="2"/>
      <c r="S58" s="2"/>
      <c r="T58" s="2"/>
      <c r="U58" s="2"/>
      <c r="V58" s="2"/>
      <c r="W58" s="2"/>
      <c r="X58" s="2"/>
      <c r="Y58" s="2"/>
      <c r="Z58" s="2"/>
    </row>
    <row r="59" spans="1:26" ht="26.5" thickBot="1">
      <c r="A59" s="12" t="s">
        <v>108</v>
      </c>
      <c r="B59" s="15">
        <v>45299</v>
      </c>
      <c r="C59" s="16" t="s">
        <v>85</v>
      </c>
      <c r="D59" s="16" t="s">
        <v>109</v>
      </c>
      <c r="E59" s="16" t="s">
        <v>69</v>
      </c>
      <c r="F59" s="16" t="s">
        <v>70</v>
      </c>
      <c r="G59" s="16" t="s">
        <v>77</v>
      </c>
      <c r="H59" s="16" t="s">
        <v>83</v>
      </c>
      <c r="I59" s="16" t="s">
        <v>73</v>
      </c>
      <c r="J59" s="17">
        <v>0</v>
      </c>
      <c r="K59" s="2"/>
      <c r="O59" s="2"/>
      <c r="P59" s="2"/>
      <c r="Q59" s="2"/>
      <c r="R59" s="2"/>
      <c r="S59" s="2"/>
      <c r="T59" s="2"/>
      <c r="U59" s="2"/>
      <c r="V59" s="2"/>
      <c r="W59" s="2"/>
      <c r="X59" s="2"/>
      <c r="Y59" s="2"/>
      <c r="Z59" s="2"/>
    </row>
    <row r="60" spans="1:26" ht="39" thickBot="1">
      <c r="A60" s="12" t="s">
        <v>110</v>
      </c>
      <c r="B60" s="15">
        <v>45468</v>
      </c>
      <c r="C60" s="16" t="s">
        <v>105</v>
      </c>
      <c r="D60" s="16" t="s">
        <v>111</v>
      </c>
      <c r="E60" s="16" t="s">
        <v>94</v>
      </c>
      <c r="F60" s="16" t="s">
        <v>70</v>
      </c>
      <c r="G60" s="16" t="s">
        <v>82</v>
      </c>
      <c r="H60" s="16" t="s">
        <v>107</v>
      </c>
      <c r="I60" s="16" t="s">
        <v>73</v>
      </c>
      <c r="J60" s="17">
        <v>3</v>
      </c>
      <c r="K60" s="2"/>
      <c r="O60" s="2"/>
      <c r="P60" s="2"/>
      <c r="Q60" s="2"/>
      <c r="R60" s="2"/>
      <c r="S60" s="2"/>
      <c r="T60" s="2"/>
      <c r="U60" s="2"/>
      <c r="V60" s="2"/>
      <c r="W60" s="2"/>
      <c r="X60" s="2"/>
      <c r="Y60" s="2"/>
      <c r="Z60" s="2"/>
    </row>
    <row r="61" spans="1:26" ht="26.5" thickBot="1">
      <c r="A61" s="12" t="s">
        <v>112</v>
      </c>
      <c r="B61" s="15">
        <v>45380</v>
      </c>
      <c r="C61" s="16" t="s">
        <v>90</v>
      </c>
      <c r="D61" s="16" t="s">
        <v>111</v>
      </c>
      <c r="E61" s="16" t="s">
        <v>80</v>
      </c>
      <c r="F61" s="16" t="s">
        <v>95</v>
      </c>
      <c r="G61" s="16" t="s">
        <v>102</v>
      </c>
      <c r="H61" s="16" t="s">
        <v>107</v>
      </c>
      <c r="I61" s="16" t="s">
        <v>100</v>
      </c>
      <c r="J61" s="17">
        <v>1</v>
      </c>
      <c r="K61" s="2"/>
      <c r="O61" s="2"/>
      <c r="P61" s="2"/>
      <c r="Q61" s="2"/>
      <c r="R61" s="2"/>
      <c r="S61" s="2"/>
      <c r="T61" s="2"/>
      <c r="U61" s="2"/>
      <c r="V61" s="2"/>
      <c r="W61" s="2"/>
      <c r="X61" s="2"/>
      <c r="Y61" s="2"/>
      <c r="Z61" s="2"/>
    </row>
    <row r="62" spans="1:26" ht="26.5" thickBot="1">
      <c r="A62" s="12" t="s">
        <v>113</v>
      </c>
      <c r="B62" s="15">
        <v>45384</v>
      </c>
      <c r="C62" s="16" t="s">
        <v>114</v>
      </c>
      <c r="D62" s="16" t="s">
        <v>68</v>
      </c>
      <c r="E62" s="16" t="s">
        <v>115</v>
      </c>
      <c r="F62" s="16" t="s">
        <v>76</v>
      </c>
      <c r="G62" s="16" t="s">
        <v>71</v>
      </c>
      <c r="H62" s="16" t="s">
        <v>107</v>
      </c>
      <c r="I62" s="16" t="s">
        <v>97</v>
      </c>
      <c r="J62" s="17">
        <v>2</v>
      </c>
      <c r="K62" s="2"/>
      <c r="O62" s="2"/>
      <c r="P62" s="2"/>
      <c r="Q62" s="2"/>
      <c r="R62" s="2"/>
      <c r="S62" s="2"/>
      <c r="T62" s="2"/>
      <c r="U62" s="2"/>
      <c r="V62" s="2"/>
      <c r="W62" s="2"/>
      <c r="X62" s="2"/>
      <c r="Y62" s="2"/>
      <c r="Z62" s="2"/>
    </row>
    <row r="63" spans="1:26" ht="39" thickBot="1">
      <c r="A63" s="12" t="s">
        <v>116</v>
      </c>
      <c r="B63" s="15">
        <v>45378</v>
      </c>
      <c r="C63" s="16" t="s">
        <v>114</v>
      </c>
      <c r="D63" s="16" t="s">
        <v>111</v>
      </c>
      <c r="E63" s="16" t="s">
        <v>106</v>
      </c>
      <c r="F63" s="16" t="s">
        <v>76</v>
      </c>
      <c r="G63" s="16" t="s">
        <v>82</v>
      </c>
      <c r="H63" s="16" t="s">
        <v>72</v>
      </c>
      <c r="I63" s="16" t="s">
        <v>88</v>
      </c>
      <c r="J63" s="17">
        <v>1</v>
      </c>
      <c r="K63" s="2"/>
      <c r="O63" s="2"/>
      <c r="P63" s="2"/>
      <c r="Q63" s="2"/>
      <c r="R63" s="2"/>
      <c r="S63" s="2"/>
      <c r="T63" s="2"/>
      <c r="U63" s="2"/>
      <c r="V63" s="2"/>
      <c r="W63" s="2"/>
      <c r="X63" s="2"/>
      <c r="Y63" s="2"/>
      <c r="Z63" s="2"/>
    </row>
    <row r="64" spans="1:26" ht="26.5" thickBot="1">
      <c r="A64" s="12" t="s">
        <v>117</v>
      </c>
      <c r="B64" s="15">
        <v>45431</v>
      </c>
      <c r="C64" s="16" t="s">
        <v>114</v>
      </c>
      <c r="D64" s="16" t="s">
        <v>68</v>
      </c>
      <c r="E64" s="16" t="s">
        <v>87</v>
      </c>
      <c r="F64" s="16" t="s">
        <v>76</v>
      </c>
      <c r="G64" s="16" t="s">
        <v>77</v>
      </c>
      <c r="H64" s="16" t="s">
        <v>107</v>
      </c>
      <c r="I64" s="16" t="s">
        <v>78</v>
      </c>
      <c r="J64" s="17">
        <v>5</v>
      </c>
      <c r="K64" s="2"/>
      <c r="O64" s="2"/>
      <c r="P64" s="2"/>
      <c r="Q64" s="2"/>
      <c r="R64" s="2"/>
      <c r="S64" s="2"/>
      <c r="T64" s="2"/>
      <c r="U64" s="2"/>
      <c r="V64" s="2"/>
      <c r="W64" s="2"/>
      <c r="X64" s="2"/>
      <c r="Y64" s="2"/>
      <c r="Z64" s="2"/>
    </row>
    <row r="65" spans="1:26" ht="39" thickBot="1">
      <c r="A65" s="12" t="s">
        <v>118</v>
      </c>
      <c r="B65" s="15">
        <v>45354</v>
      </c>
      <c r="C65" s="16" t="s">
        <v>67</v>
      </c>
      <c r="D65" s="16" t="s">
        <v>86</v>
      </c>
      <c r="E65" s="16" t="s">
        <v>106</v>
      </c>
      <c r="F65" s="16" t="s">
        <v>81</v>
      </c>
      <c r="G65" s="16" t="s">
        <v>82</v>
      </c>
      <c r="H65" s="16" t="s">
        <v>72</v>
      </c>
      <c r="I65" s="16" t="s">
        <v>78</v>
      </c>
      <c r="J65" s="17">
        <v>4</v>
      </c>
      <c r="K65" s="2"/>
      <c r="O65" s="2"/>
      <c r="P65" s="2"/>
      <c r="Q65" s="2"/>
      <c r="R65" s="2"/>
      <c r="S65" s="2"/>
      <c r="T65" s="2"/>
      <c r="U65" s="2"/>
      <c r="V65" s="2"/>
      <c r="W65" s="2"/>
      <c r="X65" s="2"/>
      <c r="Y65" s="2"/>
      <c r="Z65" s="2"/>
    </row>
    <row r="66" spans="1:26" ht="39" thickBot="1">
      <c r="A66" s="12" t="s">
        <v>119</v>
      </c>
      <c r="B66" s="15">
        <v>45359</v>
      </c>
      <c r="C66" s="16" t="s">
        <v>120</v>
      </c>
      <c r="D66" s="16" t="s">
        <v>68</v>
      </c>
      <c r="E66" s="16" t="s">
        <v>94</v>
      </c>
      <c r="F66" s="16" t="s">
        <v>81</v>
      </c>
      <c r="G66" s="16" t="s">
        <v>82</v>
      </c>
      <c r="H66" s="16" t="s">
        <v>72</v>
      </c>
      <c r="I66" s="16" t="s">
        <v>88</v>
      </c>
      <c r="J66" s="17">
        <v>3</v>
      </c>
      <c r="K66" s="2"/>
      <c r="N66" s="2"/>
      <c r="O66" s="2"/>
      <c r="P66" s="2"/>
      <c r="Q66" s="2"/>
      <c r="R66" s="2"/>
      <c r="S66" s="2"/>
      <c r="T66" s="2"/>
      <c r="U66" s="2"/>
      <c r="V66" s="2"/>
      <c r="W66" s="2"/>
      <c r="X66" s="2"/>
      <c r="Y66" s="2"/>
      <c r="Z66" s="2"/>
    </row>
    <row r="67" spans="1:26" ht="26.5" thickBot="1">
      <c r="A67" s="12" t="s">
        <v>121</v>
      </c>
      <c r="B67" s="15">
        <v>45469</v>
      </c>
      <c r="C67" s="16" t="s">
        <v>99</v>
      </c>
      <c r="D67" s="16" t="s">
        <v>68</v>
      </c>
      <c r="E67" s="16" t="s">
        <v>106</v>
      </c>
      <c r="F67" s="16" t="s">
        <v>95</v>
      </c>
      <c r="G67" s="16" t="s">
        <v>102</v>
      </c>
      <c r="H67" s="16" t="s">
        <v>107</v>
      </c>
      <c r="I67" s="16" t="s">
        <v>97</v>
      </c>
      <c r="J67" s="17">
        <v>4</v>
      </c>
      <c r="K67" s="2"/>
      <c r="N67" s="2"/>
      <c r="O67" s="2"/>
      <c r="P67" s="2"/>
      <c r="Q67" s="2"/>
      <c r="R67" s="2"/>
      <c r="S67" s="2"/>
      <c r="T67" s="2"/>
      <c r="U67" s="2"/>
      <c r="V67" s="2"/>
      <c r="W67" s="2"/>
      <c r="X67" s="2"/>
      <c r="Y67" s="2"/>
      <c r="Z67" s="2"/>
    </row>
    <row r="68" spans="1:26" ht="26.5" thickBot="1">
      <c r="A68" s="12" t="s">
        <v>122</v>
      </c>
      <c r="B68" s="15">
        <v>45317</v>
      </c>
      <c r="C68" s="16" t="s">
        <v>99</v>
      </c>
      <c r="D68" s="16" t="s">
        <v>86</v>
      </c>
      <c r="E68" s="16" t="s">
        <v>80</v>
      </c>
      <c r="F68" s="16" t="s">
        <v>95</v>
      </c>
      <c r="G68" s="16" t="s">
        <v>77</v>
      </c>
      <c r="H68" s="16" t="s">
        <v>72</v>
      </c>
      <c r="I68" s="16" t="s">
        <v>88</v>
      </c>
      <c r="J68" s="17">
        <v>5</v>
      </c>
      <c r="K68" s="2"/>
      <c r="N68" s="2"/>
      <c r="O68" s="2"/>
      <c r="P68" s="2"/>
      <c r="Q68" s="2"/>
      <c r="R68" s="2"/>
      <c r="S68" s="2"/>
      <c r="T68" s="2"/>
      <c r="U68" s="2"/>
      <c r="V68" s="2"/>
      <c r="W68" s="2"/>
      <c r="X68" s="2"/>
      <c r="Y68" s="2"/>
      <c r="Z68" s="2"/>
    </row>
    <row r="69" spans="1:26" ht="26.5" thickBot="1">
      <c r="A69" s="12" t="s">
        <v>123</v>
      </c>
      <c r="B69" s="15">
        <v>45327</v>
      </c>
      <c r="C69" s="16" t="s">
        <v>85</v>
      </c>
      <c r="D69" s="16" t="s">
        <v>91</v>
      </c>
      <c r="E69" s="16" t="s">
        <v>106</v>
      </c>
      <c r="F69" s="16" t="s">
        <v>81</v>
      </c>
      <c r="G69" s="16" t="s">
        <v>77</v>
      </c>
      <c r="H69" s="16" t="s">
        <v>96</v>
      </c>
      <c r="I69" s="16" t="s">
        <v>78</v>
      </c>
      <c r="J69" s="17">
        <v>5</v>
      </c>
      <c r="K69" s="2"/>
      <c r="N69" s="2"/>
      <c r="O69" s="2"/>
      <c r="P69" s="2"/>
      <c r="Q69" s="2"/>
      <c r="R69" s="2"/>
      <c r="S69" s="2"/>
      <c r="T69" s="2"/>
      <c r="U69" s="2"/>
      <c r="V69" s="2"/>
      <c r="W69" s="2"/>
      <c r="X69" s="2"/>
      <c r="Y69" s="2"/>
      <c r="Z69" s="2"/>
    </row>
    <row r="70" spans="1:26" ht="39" thickBot="1">
      <c r="A70" s="12" t="s">
        <v>124</v>
      </c>
      <c r="B70" s="15">
        <v>45450</v>
      </c>
      <c r="C70" s="16" t="s">
        <v>67</v>
      </c>
      <c r="D70" s="16" t="s">
        <v>109</v>
      </c>
      <c r="E70" s="16" t="s">
        <v>87</v>
      </c>
      <c r="F70" s="16" t="s">
        <v>76</v>
      </c>
      <c r="G70" s="16" t="s">
        <v>82</v>
      </c>
      <c r="H70" s="16" t="s">
        <v>83</v>
      </c>
      <c r="I70" s="16" t="s">
        <v>92</v>
      </c>
      <c r="J70" s="17">
        <v>4</v>
      </c>
      <c r="K70" s="2"/>
      <c r="N70" s="2"/>
      <c r="O70" s="2"/>
      <c r="P70" s="2"/>
      <c r="Q70" s="2"/>
      <c r="R70" s="2"/>
      <c r="S70" s="2"/>
      <c r="T70" s="2"/>
      <c r="U70" s="2"/>
      <c r="V70" s="2"/>
      <c r="W70" s="2"/>
      <c r="X70" s="2"/>
      <c r="Y70" s="2"/>
      <c r="Z70" s="2"/>
    </row>
    <row r="71" spans="1:26" ht="39" thickBot="1">
      <c r="A71" s="12" t="s">
        <v>125</v>
      </c>
      <c r="B71" s="15">
        <v>45378</v>
      </c>
      <c r="C71" s="16" t="s">
        <v>114</v>
      </c>
      <c r="D71" s="16" t="s">
        <v>86</v>
      </c>
      <c r="E71" s="16" t="s">
        <v>80</v>
      </c>
      <c r="F71" s="16" t="s">
        <v>95</v>
      </c>
      <c r="G71" s="16" t="s">
        <v>82</v>
      </c>
      <c r="H71" s="16" t="s">
        <v>107</v>
      </c>
      <c r="I71" s="16" t="s">
        <v>92</v>
      </c>
      <c r="J71" s="17">
        <v>4</v>
      </c>
      <c r="K71" s="2"/>
      <c r="N71" s="2"/>
      <c r="O71" s="2"/>
      <c r="P71" s="2"/>
      <c r="Q71" s="2"/>
      <c r="R71" s="2"/>
      <c r="S71" s="2"/>
      <c r="T71" s="2"/>
      <c r="U71" s="2"/>
      <c r="V71" s="2"/>
      <c r="W71" s="2"/>
      <c r="X71" s="2"/>
      <c r="Y71" s="2"/>
      <c r="Z71" s="2"/>
    </row>
    <row r="72" spans="1:26" ht="26.5" thickBot="1">
      <c r="A72" s="12" t="s">
        <v>126</v>
      </c>
      <c r="B72" s="15">
        <v>45346</v>
      </c>
      <c r="C72" s="16" t="s">
        <v>75</v>
      </c>
      <c r="D72" s="16" t="s">
        <v>109</v>
      </c>
      <c r="E72" s="16" t="s">
        <v>87</v>
      </c>
      <c r="F72" s="16" t="s">
        <v>95</v>
      </c>
      <c r="G72" s="16" t="s">
        <v>71</v>
      </c>
      <c r="H72" s="16" t="s">
        <v>72</v>
      </c>
      <c r="I72" s="16" t="s">
        <v>73</v>
      </c>
      <c r="J72" s="17">
        <v>0</v>
      </c>
      <c r="K72" s="2"/>
      <c r="N72" s="2"/>
      <c r="O72" s="2"/>
      <c r="P72" s="2"/>
      <c r="Q72" s="2"/>
      <c r="R72" s="2"/>
      <c r="S72" s="2"/>
      <c r="T72" s="2"/>
      <c r="U72" s="2"/>
      <c r="V72" s="2"/>
      <c r="W72" s="2"/>
      <c r="X72" s="2"/>
      <c r="Y72" s="2"/>
      <c r="Z72" s="2"/>
    </row>
    <row r="73" spans="1:26" ht="26.5" thickBot="1">
      <c r="A73" s="12" t="s">
        <v>127</v>
      </c>
      <c r="B73" s="15">
        <v>45447</v>
      </c>
      <c r="C73" s="16" t="s">
        <v>99</v>
      </c>
      <c r="D73" s="16" t="s">
        <v>91</v>
      </c>
      <c r="E73" s="16" t="s">
        <v>106</v>
      </c>
      <c r="F73" s="16" t="s">
        <v>95</v>
      </c>
      <c r="G73" s="16" t="s">
        <v>77</v>
      </c>
      <c r="H73" s="16" t="s">
        <v>83</v>
      </c>
      <c r="I73" s="16" t="s">
        <v>97</v>
      </c>
      <c r="J73" s="17">
        <v>1</v>
      </c>
      <c r="K73" s="2"/>
      <c r="N73" s="2"/>
      <c r="O73" s="2"/>
      <c r="P73" s="2"/>
      <c r="Q73" s="2"/>
      <c r="R73" s="2"/>
      <c r="S73" s="2"/>
      <c r="T73" s="2"/>
      <c r="U73" s="2"/>
      <c r="V73" s="2"/>
      <c r="W73" s="2"/>
      <c r="X73" s="2"/>
      <c r="Y73" s="2"/>
      <c r="Z73" s="2"/>
    </row>
    <row r="74" spans="1:26" ht="15" thickBot="1">
      <c r="A74" s="12" t="s">
        <v>128</v>
      </c>
      <c r="B74" s="15">
        <v>45442</v>
      </c>
      <c r="C74" s="16" t="s">
        <v>85</v>
      </c>
      <c r="D74" s="16" t="s">
        <v>86</v>
      </c>
      <c r="E74" s="16" t="s">
        <v>115</v>
      </c>
      <c r="F74" s="16" t="s">
        <v>70</v>
      </c>
      <c r="G74" s="16" t="s">
        <v>77</v>
      </c>
      <c r="H74" s="16" t="s">
        <v>72</v>
      </c>
      <c r="I74" s="16" t="s">
        <v>92</v>
      </c>
      <c r="J74" s="17">
        <v>0</v>
      </c>
      <c r="K74" s="2"/>
      <c r="N74" s="2"/>
      <c r="O74" s="2"/>
      <c r="P74" s="2"/>
      <c r="Q74" s="2"/>
      <c r="R74" s="2"/>
      <c r="S74" s="2"/>
      <c r="T74" s="2"/>
      <c r="U74" s="2"/>
      <c r="V74" s="2"/>
      <c r="W74" s="2"/>
      <c r="X74" s="2"/>
      <c r="Y74" s="2"/>
      <c r="Z74" s="2"/>
    </row>
    <row r="75" spans="1:26" ht="26.5" thickBot="1">
      <c r="A75" s="12" t="s">
        <v>129</v>
      </c>
      <c r="B75" s="15">
        <v>45386</v>
      </c>
      <c r="C75" s="16" t="s">
        <v>67</v>
      </c>
      <c r="D75" s="16" t="s">
        <v>111</v>
      </c>
      <c r="E75" s="16" t="s">
        <v>94</v>
      </c>
      <c r="F75" s="16" t="s">
        <v>81</v>
      </c>
      <c r="G75" s="16" t="s">
        <v>102</v>
      </c>
      <c r="H75" s="16" t="s">
        <v>83</v>
      </c>
      <c r="I75" s="16" t="s">
        <v>73</v>
      </c>
      <c r="J75" s="17">
        <v>0</v>
      </c>
      <c r="K75" s="2"/>
      <c r="N75" s="2"/>
      <c r="O75" s="2"/>
      <c r="P75" s="2"/>
      <c r="Q75" s="2"/>
      <c r="R75" s="2"/>
      <c r="S75" s="2"/>
      <c r="T75" s="2"/>
      <c r="U75" s="2"/>
      <c r="V75" s="2"/>
      <c r="W75" s="2"/>
      <c r="X75" s="2"/>
      <c r="Y75" s="2"/>
      <c r="Z75" s="2"/>
    </row>
    <row r="76" spans="1:26" ht="26.5" thickBot="1">
      <c r="A76" s="12" t="s">
        <v>130</v>
      </c>
      <c r="B76" s="15">
        <v>45422</v>
      </c>
      <c r="C76" s="16" t="s">
        <v>67</v>
      </c>
      <c r="D76" s="16" t="s">
        <v>68</v>
      </c>
      <c r="E76" s="16" t="s">
        <v>80</v>
      </c>
      <c r="F76" s="16" t="s">
        <v>76</v>
      </c>
      <c r="G76" s="16" t="s">
        <v>71</v>
      </c>
      <c r="H76" s="16" t="s">
        <v>107</v>
      </c>
      <c r="I76" s="16" t="s">
        <v>88</v>
      </c>
      <c r="J76" s="17">
        <v>4</v>
      </c>
      <c r="K76" s="2"/>
      <c r="N76" s="2"/>
      <c r="O76" s="2"/>
      <c r="P76" s="2"/>
      <c r="Q76" s="2"/>
      <c r="R76" s="2"/>
      <c r="S76" s="2"/>
      <c r="T76" s="2"/>
      <c r="U76" s="2"/>
      <c r="V76" s="2"/>
      <c r="W76" s="2"/>
      <c r="X76" s="2"/>
      <c r="Y76" s="2"/>
      <c r="Z76" s="2"/>
    </row>
    <row r="77" spans="1:26" ht="26.5" thickBot="1">
      <c r="A77" s="12" t="s">
        <v>131</v>
      </c>
      <c r="B77" s="15">
        <v>45353</v>
      </c>
      <c r="C77" s="16" t="s">
        <v>114</v>
      </c>
      <c r="D77" s="16" t="s">
        <v>91</v>
      </c>
      <c r="E77" s="16" t="s">
        <v>69</v>
      </c>
      <c r="F77" s="16" t="s">
        <v>95</v>
      </c>
      <c r="G77" s="16" t="s">
        <v>77</v>
      </c>
      <c r="H77" s="16" t="s">
        <v>107</v>
      </c>
      <c r="I77" s="16" t="s">
        <v>92</v>
      </c>
      <c r="J77" s="17">
        <v>4</v>
      </c>
      <c r="K77" s="2"/>
      <c r="N77" s="2"/>
      <c r="O77" s="2"/>
      <c r="P77" s="2"/>
      <c r="Q77" s="2"/>
      <c r="R77" s="2"/>
      <c r="S77" s="2"/>
      <c r="T77" s="2"/>
      <c r="U77" s="2"/>
      <c r="V77" s="2"/>
      <c r="W77" s="2"/>
      <c r="X77" s="2"/>
      <c r="Y77" s="2"/>
      <c r="Z77" s="2"/>
    </row>
    <row r="78" spans="1:26" ht="39" thickBot="1">
      <c r="A78" s="12" t="s">
        <v>132</v>
      </c>
      <c r="B78" s="15">
        <v>45398</v>
      </c>
      <c r="C78" s="16" t="s">
        <v>85</v>
      </c>
      <c r="D78" s="16" t="s">
        <v>111</v>
      </c>
      <c r="E78" s="16" t="s">
        <v>94</v>
      </c>
      <c r="F78" s="16" t="s">
        <v>76</v>
      </c>
      <c r="G78" s="16" t="s">
        <v>82</v>
      </c>
      <c r="H78" s="16" t="s">
        <v>107</v>
      </c>
      <c r="I78" s="16" t="s">
        <v>78</v>
      </c>
      <c r="J78" s="17">
        <v>0</v>
      </c>
      <c r="K78" s="2"/>
      <c r="N78" s="2"/>
      <c r="O78" s="2"/>
      <c r="P78" s="2"/>
      <c r="Q78" s="2"/>
      <c r="R78" s="2"/>
      <c r="S78" s="2"/>
      <c r="T78" s="2"/>
      <c r="U78" s="2"/>
      <c r="V78" s="2"/>
      <c r="W78" s="2"/>
      <c r="X78" s="2"/>
      <c r="Y78" s="2"/>
      <c r="Z78" s="2"/>
    </row>
    <row r="79" spans="1:26" ht="26.5" thickBot="1">
      <c r="A79" s="12" t="s">
        <v>133</v>
      </c>
      <c r="B79" s="15">
        <v>45452</v>
      </c>
      <c r="C79" s="16" t="s">
        <v>120</v>
      </c>
      <c r="D79" s="16" t="s">
        <v>109</v>
      </c>
      <c r="E79" s="16" t="s">
        <v>106</v>
      </c>
      <c r="F79" s="16" t="s">
        <v>95</v>
      </c>
      <c r="G79" s="16" t="s">
        <v>102</v>
      </c>
      <c r="H79" s="16" t="s">
        <v>107</v>
      </c>
      <c r="I79" s="16" t="s">
        <v>73</v>
      </c>
      <c r="J79" s="17">
        <v>5</v>
      </c>
      <c r="K79" s="2"/>
      <c r="N79" s="2"/>
      <c r="O79" s="2"/>
      <c r="P79" s="2"/>
      <c r="Q79" s="2"/>
      <c r="R79" s="2"/>
      <c r="S79" s="2"/>
      <c r="T79" s="2"/>
      <c r="U79" s="2"/>
      <c r="V79" s="2"/>
      <c r="W79" s="2"/>
      <c r="X79" s="2"/>
      <c r="Y79" s="2"/>
      <c r="Z79" s="2"/>
    </row>
    <row r="80" spans="1:26" ht="26.5" thickBot="1">
      <c r="A80" s="12" t="s">
        <v>134</v>
      </c>
      <c r="B80" s="15">
        <v>45347</v>
      </c>
      <c r="C80" s="16" t="s">
        <v>114</v>
      </c>
      <c r="D80" s="16" t="s">
        <v>111</v>
      </c>
      <c r="E80" s="16" t="s">
        <v>69</v>
      </c>
      <c r="F80" s="16" t="s">
        <v>95</v>
      </c>
      <c r="G80" s="16" t="s">
        <v>77</v>
      </c>
      <c r="H80" s="16" t="s">
        <v>83</v>
      </c>
      <c r="I80" s="16" t="s">
        <v>97</v>
      </c>
      <c r="J80" s="17">
        <v>2</v>
      </c>
      <c r="K80" s="2"/>
      <c r="N80" s="2"/>
      <c r="O80" s="2"/>
      <c r="P80" s="2"/>
      <c r="Q80" s="2"/>
      <c r="R80" s="2"/>
      <c r="S80" s="2"/>
      <c r="T80" s="2"/>
      <c r="U80" s="2"/>
      <c r="V80" s="2"/>
      <c r="W80" s="2"/>
      <c r="X80" s="2"/>
      <c r="Y80" s="2"/>
      <c r="Z80" s="2"/>
    </row>
    <row r="81" spans="1:26" ht="26.5" thickBot="1">
      <c r="A81" s="12" t="s">
        <v>135</v>
      </c>
      <c r="B81" s="15">
        <v>45467</v>
      </c>
      <c r="C81" s="16" t="s">
        <v>85</v>
      </c>
      <c r="D81" s="16" t="s">
        <v>109</v>
      </c>
      <c r="E81" s="16" t="s">
        <v>69</v>
      </c>
      <c r="F81" s="16" t="s">
        <v>81</v>
      </c>
      <c r="G81" s="16" t="s">
        <v>77</v>
      </c>
      <c r="H81" s="16" t="s">
        <v>83</v>
      </c>
      <c r="I81" s="16" t="s">
        <v>78</v>
      </c>
      <c r="J81" s="17">
        <v>1</v>
      </c>
      <c r="K81" s="2"/>
      <c r="N81" s="2"/>
      <c r="O81" s="2"/>
      <c r="P81" s="2"/>
      <c r="Q81" s="2"/>
      <c r="R81" s="2"/>
      <c r="S81" s="2"/>
      <c r="T81" s="2"/>
      <c r="U81" s="2"/>
      <c r="V81" s="2"/>
      <c r="W81" s="2"/>
      <c r="X81" s="2"/>
      <c r="Y81" s="2"/>
      <c r="Z81" s="2"/>
    </row>
    <row r="82" spans="1:26" ht="39" thickBot="1">
      <c r="A82" s="12" t="s">
        <v>136</v>
      </c>
      <c r="B82" s="15">
        <v>45403</v>
      </c>
      <c r="C82" s="16" t="s">
        <v>120</v>
      </c>
      <c r="D82" s="16" t="s">
        <v>91</v>
      </c>
      <c r="E82" s="16" t="s">
        <v>80</v>
      </c>
      <c r="F82" s="16" t="s">
        <v>70</v>
      </c>
      <c r="G82" s="16" t="s">
        <v>82</v>
      </c>
      <c r="H82" s="16" t="s">
        <v>96</v>
      </c>
      <c r="I82" s="16" t="s">
        <v>97</v>
      </c>
      <c r="J82" s="17">
        <v>1</v>
      </c>
      <c r="K82" s="2"/>
      <c r="N82" s="2"/>
      <c r="O82" s="2"/>
      <c r="P82" s="2"/>
      <c r="Q82" s="2"/>
      <c r="R82" s="2"/>
      <c r="S82" s="2"/>
      <c r="T82" s="2"/>
      <c r="U82" s="2"/>
      <c r="V82" s="2"/>
      <c r="W82" s="2"/>
      <c r="X82" s="2"/>
      <c r="Y82" s="2"/>
      <c r="Z82" s="2"/>
    </row>
    <row r="83" spans="1:26" ht="15" thickBot="1">
      <c r="A83" s="12" t="s">
        <v>137</v>
      </c>
      <c r="B83" s="15">
        <v>45293</v>
      </c>
      <c r="C83" s="16" t="s">
        <v>75</v>
      </c>
      <c r="D83" s="16" t="s">
        <v>68</v>
      </c>
      <c r="E83" s="16" t="s">
        <v>87</v>
      </c>
      <c r="F83" s="16" t="s">
        <v>70</v>
      </c>
      <c r="G83" s="16" t="s">
        <v>102</v>
      </c>
      <c r="H83" s="16" t="s">
        <v>107</v>
      </c>
      <c r="I83" s="16" t="s">
        <v>100</v>
      </c>
      <c r="J83" s="17">
        <v>3</v>
      </c>
      <c r="K83" s="2"/>
      <c r="N83" s="2"/>
      <c r="O83" s="2"/>
      <c r="P83" s="2"/>
      <c r="Q83" s="2"/>
      <c r="R83" s="2"/>
      <c r="S83" s="2"/>
      <c r="T83" s="2"/>
      <c r="U83" s="2"/>
      <c r="V83" s="2"/>
      <c r="W83" s="2"/>
      <c r="X83" s="2"/>
      <c r="Y83" s="2"/>
      <c r="Z83" s="2"/>
    </row>
    <row r="84" spans="1:26" ht="26.5" thickBot="1">
      <c r="A84" s="12" t="s">
        <v>138</v>
      </c>
      <c r="B84" s="15">
        <v>45436</v>
      </c>
      <c r="C84" s="16" t="s">
        <v>120</v>
      </c>
      <c r="D84" s="16" t="s">
        <v>91</v>
      </c>
      <c r="E84" s="16" t="s">
        <v>69</v>
      </c>
      <c r="F84" s="16" t="s">
        <v>70</v>
      </c>
      <c r="G84" s="16" t="s">
        <v>102</v>
      </c>
      <c r="H84" s="16" t="s">
        <v>72</v>
      </c>
      <c r="I84" s="16" t="s">
        <v>78</v>
      </c>
      <c r="J84" s="17">
        <v>4</v>
      </c>
      <c r="K84" s="2"/>
      <c r="N84" s="2"/>
      <c r="O84" s="2"/>
      <c r="P84" s="2"/>
      <c r="Q84" s="2"/>
      <c r="R84" s="2"/>
      <c r="S84" s="2"/>
      <c r="T84" s="2"/>
      <c r="U84" s="2"/>
      <c r="V84" s="2"/>
      <c r="W84" s="2"/>
      <c r="X84" s="2"/>
      <c r="Y84" s="2"/>
      <c r="Z84" s="2"/>
    </row>
    <row r="85" spans="1:26" ht="39" thickBot="1">
      <c r="A85" s="12" t="s">
        <v>139</v>
      </c>
      <c r="B85" s="15">
        <v>45317</v>
      </c>
      <c r="C85" s="16" t="s">
        <v>105</v>
      </c>
      <c r="D85" s="16" t="s">
        <v>109</v>
      </c>
      <c r="E85" s="16" t="s">
        <v>106</v>
      </c>
      <c r="F85" s="16" t="s">
        <v>70</v>
      </c>
      <c r="G85" s="16" t="s">
        <v>82</v>
      </c>
      <c r="H85" s="16" t="s">
        <v>96</v>
      </c>
      <c r="I85" s="16" t="s">
        <v>73</v>
      </c>
      <c r="J85" s="17">
        <v>5</v>
      </c>
      <c r="K85" s="2"/>
      <c r="N85" s="2"/>
      <c r="O85" s="2"/>
      <c r="P85" s="2"/>
      <c r="Q85" s="2"/>
      <c r="R85" s="2"/>
      <c r="S85" s="2"/>
      <c r="T85" s="2"/>
      <c r="U85" s="2"/>
      <c r="V85" s="2"/>
      <c r="W85" s="2"/>
      <c r="X85" s="2"/>
      <c r="Y85" s="2"/>
      <c r="Z85" s="2"/>
    </row>
    <row r="86" spans="1:26" ht="39" thickBot="1">
      <c r="A86" s="12" t="s">
        <v>140</v>
      </c>
      <c r="B86" s="15">
        <v>45314</v>
      </c>
      <c r="C86" s="16" t="s">
        <v>90</v>
      </c>
      <c r="D86" s="16" t="s">
        <v>68</v>
      </c>
      <c r="E86" s="16" t="s">
        <v>69</v>
      </c>
      <c r="F86" s="16" t="s">
        <v>81</v>
      </c>
      <c r="G86" s="16" t="s">
        <v>82</v>
      </c>
      <c r="H86" s="16" t="s">
        <v>107</v>
      </c>
      <c r="I86" s="16" t="s">
        <v>100</v>
      </c>
      <c r="J86" s="17">
        <v>0</v>
      </c>
      <c r="K86" s="2"/>
      <c r="N86" s="2"/>
      <c r="O86" s="2"/>
      <c r="P86" s="2"/>
      <c r="Q86" s="2"/>
      <c r="R86" s="2"/>
      <c r="S86" s="2"/>
      <c r="T86" s="2"/>
      <c r="U86" s="2"/>
      <c r="V86" s="2"/>
      <c r="W86" s="2"/>
      <c r="X86" s="2"/>
      <c r="Y86" s="2"/>
      <c r="Z86" s="2"/>
    </row>
    <row r="87" spans="1:26" ht="39" thickBot="1">
      <c r="A87" s="12" t="s">
        <v>141</v>
      </c>
      <c r="B87" s="15">
        <v>45408</v>
      </c>
      <c r="C87" s="16" t="s">
        <v>85</v>
      </c>
      <c r="D87" s="16" t="s">
        <v>91</v>
      </c>
      <c r="E87" s="16" t="s">
        <v>94</v>
      </c>
      <c r="F87" s="16" t="s">
        <v>76</v>
      </c>
      <c r="G87" s="16" t="s">
        <v>82</v>
      </c>
      <c r="H87" s="16" t="s">
        <v>83</v>
      </c>
      <c r="I87" s="16" t="s">
        <v>100</v>
      </c>
      <c r="J87" s="17">
        <v>2</v>
      </c>
      <c r="K87" s="2"/>
      <c r="N87" s="2"/>
      <c r="O87" s="2"/>
      <c r="P87" s="2"/>
      <c r="Q87" s="2"/>
      <c r="R87" s="2"/>
      <c r="S87" s="2"/>
      <c r="T87" s="2"/>
      <c r="U87" s="2"/>
      <c r="V87" s="2"/>
      <c r="W87" s="2"/>
      <c r="X87" s="2"/>
      <c r="Y87" s="2"/>
      <c r="Z87" s="2"/>
    </row>
    <row r="88" spans="1:26" ht="26.5" thickBot="1">
      <c r="A88" s="12" t="s">
        <v>142</v>
      </c>
      <c r="B88" s="15">
        <v>45365</v>
      </c>
      <c r="C88" s="16" t="s">
        <v>67</v>
      </c>
      <c r="D88" s="16" t="s">
        <v>68</v>
      </c>
      <c r="E88" s="16" t="s">
        <v>69</v>
      </c>
      <c r="F88" s="16" t="s">
        <v>95</v>
      </c>
      <c r="G88" s="16" t="s">
        <v>77</v>
      </c>
      <c r="H88" s="16" t="s">
        <v>83</v>
      </c>
      <c r="I88" s="16" t="s">
        <v>92</v>
      </c>
      <c r="J88" s="17">
        <v>1</v>
      </c>
      <c r="K88" s="2"/>
      <c r="N88" s="2"/>
      <c r="O88" s="2"/>
      <c r="P88" s="2"/>
      <c r="Q88" s="2"/>
      <c r="R88" s="2"/>
      <c r="S88" s="2"/>
      <c r="T88" s="2"/>
      <c r="U88" s="2"/>
      <c r="V88" s="2"/>
      <c r="W88" s="2"/>
      <c r="X88" s="2"/>
      <c r="Y88" s="2"/>
      <c r="Z88" s="2"/>
    </row>
    <row r="89" spans="1:26" ht="26.5" thickBot="1">
      <c r="A89" s="12" t="s">
        <v>143</v>
      </c>
      <c r="B89" s="15">
        <v>45301</v>
      </c>
      <c r="C89" s="16" t="s">
        <v>67</v>
      </c>
      <c r="D89" s="16" t="s">
        <v>91</v>
      </c>
      <c r="E89" s="16" t="s">
        <v>69</v>
      </c>
      <c r="F89" s="16" t="s">
        <v>70</v>
      </c>
      <c r="G89" s="16" t="s">
        <v>102</v>
      </c>
      <c r="H89" s="16" t="s">
        <v>96</v>
      </c>
      <c r="I89" s="16" t="s">
        <v>88</v>
      </c>
      <c r="J89" s="17">
        <v>4</v>
      </c>
      <c r="K89" s="2"/>
      <c r="N89" s="2"/>
      <c r="O89" s="2"/>
      <c r="P89" s="2"/>
      <c r="Q89" s="2"/>
      <c r="R89" s="2"/>
      <c r="S89" s="2"/>
      <c r="T89" s="2"/>
      <c r="U89" s="2"/>
      <c r="V89" s="2"/>
      <c r="W89" s="2"/>
      <c r="X89" s="2"/>
      <c r="Y89" s="2"/>
      <c r="Z89" s="2"/>
    </row>
    <row r="90" spans="1:26" ht="39" thickBot="1">
      <c r="A90" s="12" t="s">
        <v>144</v>
      </c>
      <c r="B90" s="15">
        <v>45410</v>
      </c>
      <c r="C90" s="16" t="s">
        <v>75</v>
      </c>
      <c r="D90" s="16" t="s">
        <v>86</v>
      </c>
      <c r="E90" s="16" t="s">
        <v>94</v>
      </c>
      <c r="F90" s="16" t="s">
        <v>76</v>
      </c>
      <c r="G90" s="16" t="s">
        <v>82</v>
      </c>
      <c r="H90" s="16" t="s">
        <v>96</v>
      </c>
      <c r="I90" s="16" t="s">
        <v>100</v>
      </c>
      <c r="J90" s="17">
        <v>2</v>
      </c>
      <c r="K90" s="2"/>
      <c r="N90" s="2"/>
      <c r="O90" s="2"/>
      <c r="P90" s="2"/>
      <c r="Q90" s="2"/>
      <c r="R90" s="2"/>
      <c r="S90" s="2"/>
      <c r="T90" s="2"/>
      <c r="U90" s="2"/>
      <c r="V90" s="2"/>
      <c r="W90" s="2"/>
      <c r="X90" s="2"/>
      <c r="Y90" s="2"/>
      <c r="Z90" s="2"/>
    </row>
    <row r="91" spans="1:26" ht="39" thickBot="1">
      <c r="A91" s="12" t="s">
        <v>145</v>
      </c>
      <c r="B91" s="15">
        <v>45314</v>
      </c>
      <c r="C91" s="16" t="s">
        <v>90</v>
      </c>
      <c r="D91" s="16" t="s">
        <v>68</v>
      </c>
      <c r="E91" s="16" t="s">
        <v>80</v>
      </c>
      <c r="F91" s="16" t="s">
        <v>81</v>
      </c>
      <c r="G91" s="16" t="s">
        <v>82</v>
      </c>
      <c r="H91" s="16" t="s">
        <v>96</v>
      </c>
      <c r="I91" s="16" t="s">
        <v>88</v>
      </c>
      <c r="J91" s="17">
        <v>2</v>
      </c>
      <c r="K91" s="2"/>
      <c r="N91" s="2"/>
      <c r="O91" s="2"/>
      <c r="P91" s="2"/>
      <c r="Q91" s="2"/>
      <c r="R91" s="2"/>
      <c r="S91" s="2"/>
      <c r="T91" s="2"/>
      <c r="U91" s="2"/>
      <c r="V91" s="2"/>
      <c r="W91" s="2"/>
      <c r="X91" s="2"/>
      <c r="Y91" s="2"/>
      <c r="Z91" s="2"/>
    </row>
    <row r="92" spans="1:26" ht="15" thickBot="1">
      <c r="A92" s="12" t="s">
        <v>146</v>
      </c>
      <c r="B92" s="15">
        <v>45370</v>
      </c>
      <c r="C92" s="16" t="s">
        <v>67</v>
      </c>
      <c r="D92" s="16" t="s">
        <v>91</v>
      </c>
      <c r="E92" s="16" t="s">
        <v>94</v>
      </c>
      <c r="F92" s="16" t="s">
        <v>81</v>
      </c>
      <c r="G92" s="16" t="s">
        <v>102</v>
      </c>
      <c r="H92" s="16" t="s">
        <v>83</v>
      </c>
      <c r="I92" s="16" t="s">
        <v>92</v>
      </c>
      <c r="J92" s="17">
        <v>4</v>
      </c>
      <c r="K92" s="2"/>
      <c r="N92" s="2"/>
      <c r="O92" s="2"/>
      <c r="P92" s="2"/>
      <c r="Q92" s="2"/>
      <c r="R92" s="2"/>
      <c r="S92" s="2"/>
      <c r="T92" s="2"/>
      <c r="U92" s="2"/>
      <c r="V92" s="2"/>
      <c r="W92" s="2"/>
      <c r="X92" s="2"/>
      <c r="Y92" s="2"/>
      <c r="Z92" s="2"/>
    </row>
    <row r="93" spans="1:26" ht="26.5" thickBot="1">
      <c r="A93" s="12" t="s">
        <v>147</v>
      </c>
      <c r="B93" s="15">
        <v>45371</v>
      </c>
      <c r="C93" s="16" t="s">
        <v>67</v>
      </c>
      <c r="D93" s="16" t="s">
        <v>68</v>
      </c>
      <c r="E93" s="16" t="s">
        <v>115</v>
      </c>
      <c r="F93" s="16" t="s">
        <v>70</v>
      </c>
      <c r="G93" s="16" t="s">
        <v>102</v>
      </c>
      <c r="H93" s="16" t="s">
        <v>107</v>
      </c>
      <c r="I93" s="16" t="s">
        <v>88</v>
      </c>
      <c r="J93" s="17">
        <v>3</v>
      </c>
      <c r="K93" s="2"/>
      <c r="N93" s="2"/>
      <c r="O93" s="2"/>
      <c r="P93" s="2"/>
      <c r="Q93" s="2"/>
      <c r="R93" s="2"/>
      <c r="S93" s="2"/>
      <c r="T93" s="2"/>
      <c r="U93" s="2"/>
      <c r="V93" s="2"/>
      <c r="W93" s="2"/>
      <c r="X93" s="2"/>
      <c r="Y93" s="2"/>
      <c r="Z93" s="2"/>
    </row>
    <row r="94" spans="1:26" ht="26.5" thickBot="1">
      <c r="A94" s="12" t="s">
        <v>148</v>
      </c>
      <c r="B94" s="15">
        <v>45417</v>
      </c>
      <c r="C94" s="16" t="s">
        <v>75</v>
      </c>
      <c r="D94" s="16" t="s">
        <v>91</v>
      </c>
      <c r="E94" s="16" t="s">
        <v>106</v>
      </c>
      <c r="F94" s="16" t="s">
        <v>95</v>
      </c>
      <c r="G94" s="16" t="s">
        <v>71</v>
      </c>
      <c r="H94" s="16" t="s">
        <v>96</v>
      </c>
      <c r="I94" s="16" t="s">
        <v>100</v>
      </c>
      <c r="J94" s="17">
        <v>0</v>
      </c>
      <c r="K94" s="2"/>
      <c r="N94" s="2"/>
      <c r="O94" s="2"/>
      <c r="P94" s="2"/>
      <c r="Q94" s="2"/>
      <c r="R94" s="2"/>
      <c r="S94" s="2"/>
      <c r="T94" s="2"/>
      <c r="U94" s="2"/>
      <c r="V94" s="2"/>
      <c r="W94" s="2"/>
      <c r="X94" s="2"/>
      <c r="Y94" s="2"/>
      <c r="Z94" s="2"/>
    </row>
    <row r="95" spans="1:26" ht="26.5" thickBot="1">
      <c r="A95" s="12" t="s">
        <v>149</v>
      </c>
      <c r="B95" s="15">
        <v>45402</v>
      </c>
      <c r="C95" s="16" t="s">
        <v>67</v>
      </c>
      <c r="D95" s="16" t="s">
        <v>68</v>
      </c>
      <c r="E95" s="16" t="s">
        <v>94</v>
      </c>
      <c r="F95" s="16" t="s">
        <v>76</v>
      </c>
      <c r="G95" s="16" t="s">
        <v>71</v>
      </c>
      <c r="H95" s="16" t="s">
        <v>107</v>
      </c>
      <c r="I95" s="16" t="s">
        <v>73</v>
      </c>
      <c r="J95" s="17">
        <v>1</v>
      </c>
      <c r="K95" s="2"/>
      <c r="N95" s="2"/>
      <c r="O95" s="2"/>
      <c r="P95" s="2"/>
      <c r="Q95" s="2"/>
      <c r="R95" s="2"/>
      <c r="S95" s="2"/>
      <c r="T95" s="2"/>
      <c r="U95" s="2"/>
      <c r="V95" s="2"/>
      <c r="W95" s="2"/>
      <c r="X95" s="2"/>
      <c r="Y95" s="2"/>
      <c r="Z95" s="2"/>
    </row>
    <row r="96" spans="1:26" ht="26.5" thickBot="1">
      <c r="A96" s="12" t="s">
        <v>150</v>
      </c>
      <c r="B96" s="15">
        <v>45466</v>
      </c>
      <c r="C96" s="16" t="s">
        <v>114</v>
      </c>
      <c r="D96" s="16" t="s">
        <v>91</v>
      </c>
      <c r="E96" s="16" t="s">
        <v>106</v>
      </c>
      <c r="F96" s="16" t="s">
        <v>95</v>
      </c>
      <c r="G96" s="16" t="s">
        <v>102</v>
      </c>
      <c r="H96" s="16" t="s">
        <v>83</v>
      </c>
      <c r="I96" s="16" t="s">
        <v>97</v>
      </c>
      <c r="J96" s="17">
        <v>0</v>
      </c>
      <c r="K96" s="2"/>
      <c r="N96" s="2"/>
      <c r="O96" s="2"/>
      <c r="P96" s="2"/>
      <c r="Q96" s="2"/>
      <c r="R96" s="2"/>
      <c r="S96" s="2"/>
      <c r="T96" s="2"/>
      <c r="U96" s="2"/>
      <c r="V96" s="2"/>
      <c r="W96" s="2"/>
      <c r="X96" s="2"/>
      <c r="Y96" s="2"/>
      <c r="Z96" s="2"/>
    </row>
    <row r="97" spans="1:26" ht="26.5" thickBot="1">
      <c r="A97" s="12" t="s">
        <v>151</v>
      </c>
      <c r="B97" s="15">
        <v>45369</v>
      </c>
      <c r="C97" s="16" t="s">
        <v>120</v>
      </c>
      <c r="D97" s="16" t="s">
        <v>86</v>
      </c>
      <c r="E97" s="16" t="s">
        <v>106</v>
      </c>
      <c r="F97" s="16" t="s">
        <v>70</v>
      </c>
      <c r="G97" s="16" t="s">
        <v>71</v>
      </c>
      <c r="H97" s="16" t="s">
        <v>72</v>
      </c>
      <c r="I97" s="16" t="s">
        <v>92</v>
      </c>
      <c r="J97" s="17">
        <v>5</v>
      </c>
      <c r="K97" s="2"/>
      <c r="N97" s="2"/>
      <c r="O97" s="2"/>
      <c r="P97" s="2"/>
      <c r="Q97" s="2"/>
      <c r="R97" s="2"/>
      <c r="S97" s="2"/>
      <c r="T97" s="2"/>
      <c r="U97" s="2"/>
      <c r="V97" s="2"/>
      <c r="W97" s="2"/>
      <c r="X97" s="2"/>
      <c r="Y97" s="2"/>
      <c r="Z97" s="2"/>
    </row>
    <row r="98" spans="1:26" ht="26.5" thickBot="1">
      <c r="A98" s="12" t="s">
        <v>152</v>
      </c>
      <c r="B98" s="15">
        <v>45436</v>
      </c>
      <c r="C98" s="16" t="s">
        <v>90</v>
      </c>
      <c r="D98" s="16" t="s">
        <v>111</v>
      </c>
      <c r="E98" s="16" t="s">
        <v>87</v>
      </c>
      <c r="F98" s="16" t="s">
        <v>76</v>
      </c>
      <c r="G98" s="16" t="s">
        <v>77</v>
      </c>
      <c r="H98" s="16" t="s">
        <v>96</v>
      </c>
      <c r="I98" s="16" t="s">
        <v>100</v>
      </c>
      <c r="J98" s="17">
        <v>2</v>
      </c>
      <c r="K98" s="2"/>
      <c r="N98" s="2"/>
      <c r="O98" s="2"/>
      <c r="P98" s="2"/>
      <c r="Q98" s="2"/>
      <c r="R98" s="2"/>
      <c r="S98" s="2"/>
      <c r="T98" s="2"/>
      <c r="U98" s="2"/>
      <c r="V98" s="2"/>
      <c r="W98" s="2"/>
      <c r="X98" s="2"/>
      <c r="Y98" s="2"/>
      <c r="Z98" s="2"/>
    </row>
    <row r="99" spans="1:26" ht="26.5" thickBot="1">
      <c r="A99" s="12" t="s">
        <v>153</v>
      </c>
      <c r="B99" s="15">
        <v>45383</v>
      </c>
      <c r="C99" s="16" t="s">
        <v>105</v>
      </c>
      <c r="D99" s="16" t="s">
        <v>86</v>
      </c>
      <c r="E99" s="16" t="s">
        <v>80</v>
      </c>
      <c r="F99" s="16" t="s">
        <v>81</v>
      </c>
      <c r="G99" s="16" t="s">
        <v>71</v>
      </c>
      <c r="H99" s="16" t="s">
        <v>72</v>
      </c>
      <c r="I99" s="16" t="s">
        <v>97</v>
      </c>
      <c r="J99" s="17">
        <v>0</v>
      </c>
      <c r="K99" s="2"/>
      <c r="N99" s="2"/>
      <c r="O99" s="2"/>
      <c r="P99" s="2"/>
      <c r="Q99" s="2"/>
      <c r="R99" s="2"/>
      <c r="S99" s="2"/>
      <c r="T99" s="2"/>
      <c r="U99" s="2"/>
      <c r="V99" s="2"/>
      <c r="W99" s="2"/>
      <c r="X99" s="2"/>
      <c r="Y99" s="2"/>
      <c r="Z99" s="2"/>
    </row>
    <row r="100" spans="1:26" ht="15" thickBot="1">
      <c r="A100" s="12" t="s">
        <v>154</v>
      </c>
      <c r="B100" s="15">
        <v>45347</v>
      </c>
      <c r="C100" s="16" t="s">
        <v>99</v>
      </c>
      <c r="D100" s="16" t="s">
        <v>91</v>
      </c>
      <c r="E100" s="16" t="s">
        <v>87</v>
      </c>
      <c r="F100" s="16" t="s">
        <v>76</v>
      </c>
      <c r="G100" s="16" t="s">
        <v>77</v>
      </c>
      <c r="H100" s="16" t="s">
        <v>107</v>
      </c>
      <c r="I100" s="16" t="s">
        <v>92</v>
      </c>
      <c r="J100" s="17">
        <v>2</v>
      </c>
      <c r="K100" s="2"/>
      <c r="N100" s="2"/>
      <c r="O100" s="2"/>
      <c r="P100" s="2"/>
      <c r="Q100" s="2"/>
      <c r="R100" s="2"/>
      <c r="S100" s="2"/>
      <c r="T100" s="2"/>
      <c r="U100" s="2"/>
      <c r="V100" s="2"/>
      <c r="W100" s="2"/>
      <c r="X100" s="2"/>
      <c r="Y100" s="2"/>
      <c r="Z100" s="2"/>
    </row>
    <row r="101" spans="1:26" ht="39" thickBot="1">
      <c r="A101" s="12" t="s">
        <v>155</v>
      </c>
      <c r="B101" s="15">
        <v>45311</v>
      </c>
      <c r="C101" s="16" t="s">
        <v>120</v>
      </c>
      <c r="D101" s="16" t="s">
        <v>111</v>
      </c>
      <c r="E101" s="16" t="s">
        <v>94</v>
      </c>
      <c r="F101" s="16" t="s">
        <v>81</v>
      </c>
      <c r="G101" s="16" t="s">
        <v>82</v>
      </c>
      <c r="H101" s="16" t="s">
        <v>72</v>
      </c>
      <c r="I101" s="16" t="s">
        <v>97</v>
      </c>
      <c r="J101" s="17">
        <v>3</v>
      </c>
      <c r="K101" s="2"/>
      <c r="N101" s="2"/>
      <c r="O101" s="2"/>
      <c r="P101" s="2"/>
      <c r="Q101" s="2"/>
      <c r="R101" s="2"/>
      <c r="S101" s="2"/>
      <c r="T101" s="2"/>
      <c r="U101" s="2"/>
      <c r="V101" s="2"/>
      <c r="W101" s="2"/>
      <c r="X101" s="2"/>
      <c r="Y101" s="2"/>
      <c r="Z101" s="2"/>
    </row>
    <row r="102" spans="1:26" ht="26.5" thickBot="1">
      <c r="A102" s="12" t="s">
        <v>156</v>
      </c>
      <c r="B102" s="15">
        <v>45345</v>
      </c>
      <c r="C102" s="16" t="s">
        <v>67</v>
      </c>
      <c r="D102" s="16" t="s">
        <v>91</v>
      </c>
      <c r="E102" s="16" t="s">
        <v>87</v>
      </c>
      <c r="F102" s="16" t="s">
        <v>81</v>
      </c>
      <c r="G102" s="16" t="s">
        <v>71</v>
      </c>
      <c r="H102" s="16" t="s">
        <v>107</v>
      </c>
      <c r="I102" s="16" t="s">
        <v>97</v>
      </c>
      <c r="J102" s="17">
        <v>5</v>
      </c>
      <c r="K102" s="2"/>
      <c r="N102" s="2"/>
      <c r="O102" s="2"/>
      <c r="P102" s="2"/>
      <c r="Q102" s="2"/>
      <c r="R102" s="2"/>
      <c r="S102" s="2"/>
      <c r="T102" s="2"/>
      <c r="U102" s="2"/>
      <c r="V102" s="2"/>
      <c r="W102" s="2"/>
      <c r="X102" s="2"/>
      <c r="Y102" s="2"/>
      <c r="Z102" s="2"/>
    </row>
    <row r="103" spans="1:26" ht="26.5" thickBot="1">
      <c r="A103" s="12" t="s">
        <v>157</v>
      </c>
      <c r="B103" s="15">
        <v>45433</v>
      </c>
      <c r="C103" s="16" t="s">
        <v>67</v>
      </c>
      <c r="D103" s="16" t="s">
        <v>68</v>
      </c>
      <c r="E103" s="16" t="s">
        <v>69</v>
      </c>
      <c r="F103" s="16" t="s">
        <v>70</v>
      </c>
      <c r="G103" s="16" t="s">
        <v>77</v>
      </c>
      <c r="H103" s="16" t="s">
        <v>72</v>
      </c>
      <c r="I103" s="16" t="s">
        <v>88</v>
      </c>
      <c r="J103" s="17">
        <v>4</v>
      </c>
      <c r="K103" s="2"/>
      <c r="N103" s="2"/>
      <c r="O103" s="2"/>
      <c r="P103" s="2"/>
      <c r="Q103" s="2"/>
      <c r="R103" s="2"/>
      <c r="S103" s="2"/>
      <c r="T103" s="2"/>
      <c r="U103" s="2"/>
      <c r="V103" s="2"/>
      <c r="W103" s="2"/>
      <c r="X103" s="2"/>
      <c r="Y103" s="2"/>
      <c r="Z103" s="2"/>
    </row>
    <row r="104" spans="1:26" ht="39" thickBot="1">
      <c r="A104" s="12" t="s">
        <v>158</v>
      </c>
      <c r="B104" s="15">
        <v>45374</v>
      </c>
      <c r="C104" s="16" t="s">
        <v>90</v>
      </c>
      <c r="D104" s="16" t="s">
        <v>68</v>
      </c>
      <c r="E104" s="16" t="s">
        <v>115</v>
      </c>
      <c r="F104" s="16" t="s">
        <v>76</v>
      </c>
      <c r="G104" s="16" t="s">
        <v>82</v>
      </c>
      <c r="H104" s="16" t="s">
        <v>72</v>
      </c>
      <c r="I104" s="16" t="s">
        <v>97</v>
      </c>
      <c r="J104" s="17">
        <v>3</v>
      </c>
      <c r="K104" s="2"/>
      <c r="N104" s="2"/>
      <c r="O104" s="2"/>
      <c r="P104" s="2"/>
      <c r="Q104" s="2"/>
      <c r="R104" s="2"/>
      <c r="S104" s="2"/>
      <c r="T104" s="2"/>
      <c r="U104" s="2"/>
      <c r="V104" s="2"/>
      <c r="W104" s="2"/>
      <c r="X104" s="2"/>
      <c r="Y104" s="2"/>
      <c r="Z104" s="2"/>
    </row>
    <row r="105" spans="1:26" ht="39" thickBot="1">
      <c r="A105" s="12" t="s">
        <v>159</v>
      </c>
      <c r="B105" s="15">
        <v>45433</v>
      </c>
      <c r="C105" s="16" t="s">
        <v>90</v>
      </c>
      <c r="D105" s="16" t="s">
        <v>68</v>
      </c>
      <c r="E105" s="16" t="s">
        <v>115</v>
      </c>
      <c r="F105" s="16" t="s">
        <v>81</v>
      </c>
      <c r="G105" s="16" t="s">
        <v>82</v>
      </c>
      <c r="H105" s="16" t="s">
        <v>96</v>
      </c>
      <c r="I105" s="16" t="s">
        <v>100</v>
      </c>
      <c r="J105" s="17">
        <v>5</v>
      </c>
      <c r="K105" s="2"/>
      <c r="N105" s="2"/>
      <c r="O105" s="2"/>
      <c r="P105" s="2"/>
      <c r="Q105" s="2"/>
      <c r="R105" s="2"/>
      <c r="S105" s="2"/>
      <c r="T105" s="2"/>
      <c r="U105" s="2"/>
      <c r="V105" s="2"/>
      <c r="W105" s="2"/>
      <c r="X105" s="2"/>
      <c r="Y105" s="2"/>
      <c r="Z105" s="2"/>
    </row>
    <row r="106" spans="1:26" ht="26.5" thickBot="1">
      <c r="A106" s="12" t="s">
        <v>160</v>
      </c>
      <c r="B106" s="15">
        <v>45367</v>
      </c>
      <c r="C106" s="16" t="s">
        <v>67</v>
      </c>
      <c r="D106" s="16" t="s">
        <v>86</v>
      </c>
      <c r="E106" s="16" t="s">
        <v>69</v>
      </c>
      <c r="F106" s="16" t="s">
        <v>76</v>
      </c>
      <c r="G106" s="16" t="s">
        <v>102</v>
      </c>
      <c r="H106" s="16" t="s">
        <v>96</v>
      </c>
      <c r="I106" s="16" t="s">
        <v>88</v>
      </c>
      <c r="J106" s="17">
        <v>2</v>
      </c>
      <c r="K106" s="2"/>
      <c r="N106" s="2"/>
      <c r="O106" s="2"/>
      <c r="P106" s="2"/>
      <c r="Q106" s="2"/>
      <c r="R106" s="2"/>
      <c r="S106" s="2"/>
      <c r="T106" s="2"/>
      <c r="U106" s="2"/>
      <c r="V106" s="2"/>
      <c r="W106" s="2"/>
      <c r="X106" s="2"/>
      <c r="Y106" s="2"/>
      <c r="Z106" s="2"/>
    </row>
    <row r="107" spans="1:26" ht="39" thickBot="1">
      <c r="A107" s="12" t="s">
        <v>161</v>
      </c>
      <c r="B107" s="15">
        <v>45317</v>
      </c>
      <c r="C107" s="16" t="s">
        <v>75</v>
      </c>
      <c r="D107" s="16" t="s">
        <v>86</v>
      </c>
      <c r="E107" s="16" t="s">
        <v>94</v>
      </c>
      <c r="F107" s="16" t="s">
        <v>76</v>
      </c>
      <c r="G107" s="16" t="s">
        <v>82</v>
      </c>
      <c r="H107" s="16" t="s">
        <v>83</v>
      </c>
      <c r="I107" s="16" t="s">
        <v>100</v>
      </c>
      <c r="J107" s="17">
        <v>4</v>
      </c>
      <c r="K107" s="2"/>
      <c r="N107" s="2"/>
      <c r="O107" s="2"/>
      <c r="P107" s="2"/>
      <c r="Q107" s="2"/>
      <c r="R107" s="2"/>
      <c r="S107" s="2"/>
      <c r="T107" s="2"/>
      <c r="U107" s="2"/>
      <c r="V107" s="2"/>
      <c r="W107" s="2"/>
      <c r="X107" s="2"/>
      <c r="Y107" s="2"/>
      <c r="Z107" s="2"/>
    </row>
    <row r="108" spans="1:26" ht="26.5" thickBot="1">
      <c r="A108" s="12" t="s">
        <v>162</v>
      </c>
      <c r="B108" s="15">
        <v>45426</v>
      </c>
      <c r="C108" s="16" t="s">
        <v>85</v>
      </c>
      <c r="D108" s="16" t="s">
        <v>68</v>
      </c>
      <c r="E108" s="16" t="s">
        <v>94</v>
      </c>
      <c r="F108" s="16" t="s">
        <v>95</v>
      </c>
      <c r="G108" s="16" t="s">
        <v>71</v>
      </c>
      <c r="H108" s="16" t="s">
        <v>83</v>
      </c>
      <c r="I108" s="16" t="s">
        <v>97</v>
      </c>
      <c r="J108" s="17">
        <v>2</v>
      </c>
      <c r="K108" s="2"/>
      <c r="N108" s="2"/>
      <c r="O108" s="2"/>
      <c r="P108" s="2"/>
      <c r="Q108" s="2"/>
      <c r="R108" s="2"/>
      <c r="S108" s="2"/>
      <c r="T108" s="2"/>
      <c r="U108" s="2"/>
      <c r="V108" s="2"/>
      <c r="W108" s="2"/>
      <c r="X108" s="2"/>
      <c r="Y108" s="2"/>
      <c r="Z108" s="2"/>
    </row>
    <row r="109" spans="1:26" ht="39" thickBot="1">
      <c r="A109" s="12" t="s">
        <v>163</v>
      </c>
      <c r="B109" s="15">
        <v>45423</v>
      </c>
      <c r="C109" s="16" t="s">
        <v>67</v>
      </c>
      <c r="D109" s="16" t="s">
        <v>91</v>
      </c>
      <c r="E109" s="16" t="s">
        <v>80</v>
      </c>
      <c r="F109" s="16" t="s">
        <v>76</v>
      </c>
      <c r="G109" s="16" t="s">
        <v>82</v>
      </c>
      <c r="H109" s="16" t="s">
        <v>83</v>
      </c>
      <c r="I109" s="16" t="s">
        <v>88</v>
      </c>
      <c r="J109" s="17">
        <v>5</v>
      </c>
      <c r="K109" s="2"/>
      <c r="N109" s="2"/>
      <c r="O109" s="2"/>
      <c r="P109" s="2"/>
      <c r="Q109" s="2"/>
      <c r="R109" s="2"/>
      <c r="S109" s="2"/>
      <c r="T109" s="2"/>
      <c r="U109" s="2"/>
      <c r="V109" s="2"/>
      <c r="W109" s="2"/>
      <c r="X109" s="2"/>
      <c r="Y109" s="2"/>
      <c r="Z109" s="2"/>
    </row>
    <row r="110" spans="1:26" ht="26.5" thickBot="1">
      <c r="A110" s="12" t="s">
        <v>164</v>
      </c>
      <c r="B110" s="15">
        <v>45355</v>
      </c>
      <c r="C110" s="16" t="s">
        <v>75</v>
      </c>
      <c r="D110" s="16" t="s">
        <v>86</v>
      </c>
      <c r="E110" s="16" t="s">
        <v>106</v>
      </c>
      <c r="F110" s="16" t="s">
        <v>76</v>
      </c>
      <c r="G110" s="16" t="s">
        <v>77</v>
      </c>
      <c r="H110" s="16" t="s">
        <v>96</v>
      </c>
      <c r="I110" s="16" t="s">
        <v>100</v>
      </c>
      <c r="J110" s="17">
        <v>5</v>
      </c>
      <c r="K110" s="2"/>
      <c r="N110" s="2"/>
      <c r="O110" s="2"/>
      <c r="P110" s="2"/>
      <c r="Q110" s="2"/>
      <c r="R110" s="2"/>
      <c r="S110" s="2"/>
      <c r="T110" s="2"/>
      <c r="U110" s="2"/>
      <c r="V110" s="2"/>
      <c r="W110" s="2"/>
      <c r="X110" s="2"/>
      <c r="Y110" s="2"/>
      <c r="Z110" s="2"/>
    </row>
    <row r="111" spans="1:26" ht="39" thickBot="1">
      <c r="A111" s="12" t="s">
        <v>165</v>
      </c>
      <c r="B111" s="15">
        <v>45453</v>
      </c>
      <c r="C111" s="16" t="s">
        <v>114</v>
      </c>
      <c r="D111" s="16" t="s">
        <v>91</v>
      </c>
      <c r="E111" s="16" t="s">
        <v>69</v>
      </c>
      <c r="F111" s="16" t="s">
        <v>70</v>
      </c>
      <c r="G111" s="16" t="s">
        <v>82</v>
      </c>
      <c r="H111" s="16" t="s">
        <v>107</v>
      </c>
      <c r="I111" s="16" t="s">
        <v>88</v>
      </c>
      <c r="J111" s="17">
        <v>1</v>
      </c>
      <c r="K111" s="2"/>
      <c r="N111" s="2"/>
      <c r="O111" s="2"/>
      <c r="P111" s="2"/>
      <c r="Q111" s="2"/>
      <c r="R111" s="2"/>
      <c r="S111" s="2"/>
      <c r="T111" s="2"/>
      <c r="U111" s="2"/>
      <c r="V111" s="2"/>
      <c r="W111" s="2"/>
      <c r="X111" s="2"/>
      <c r="Y111" s="2"/>
      <c r="Z111" s="2"/>
    </row>
    <row r="112" spans="1:26" ht="39" thickBot="1">
      <c r="A112" s="12" t="s">
        <v>166</v>
      </c>
      <c r="B112" s="15">
        <v>45301</v>
      </c>
      <c r="C112" s="16" t="s">
        <v>120</v>
      </c>
      <c r="D112" s="16" t="s">
        <v>68</v>
      </c>
      <c r="E112" s="16" t="s">
        <v>115</v>
      </c>
      <c r="F112" s="16" t="s">
        <v>95</v>
      </c>
      <c r="G112" s="16" t="s">
        <v>82</v>
      </c>
      <c r="H112" s="16" t="s">
        <v>107</v>
      </c>
      <c r="I112" s="16" t="s">
        <v>100</v>
      </c>
      <c r="J112" s="17">
        <v>4</v>
      </c>
      <c r="K112" s="2"/>
      <c r="N112" s="2"/>
      <c r="O112" s="2"/>
      <c r="P112" s="2"/>
      <c r="Q112" s="2"/>
      <c r="R112" s="2"/>
      <c r="S112" s="2"/>
      <c r="T112" s="2"/>
      <c r="U112" s="2"/>
      <c r="V112" s="2"/>
      <c r="W112" s="2"/>
      <c r="X112" s="2"/>
      <c r="Y112" s="2"/>
      <c r="Z112" s="2"/>
    </row>
    <row r="113" spans="1:26" ht="26.5" thickBot="1">
      <c r="A113" s="12" t="s">
        <v>167</v>
      </c>
      <c r="B113" s="15">
        <v>45360</v>
      </c>
      <c r="C113" s="16" t="s">
        <v>85</v>
      </c>
      <c r="D113" s="16" t="s">
        <v>111</v>
      </c>
      <c r="E113" s="16" t="s">
        <v>69</v>
      </c>
      <c r="F113" s="16" t="s">
        <v>81</v>
      </c>
      <c r="G113" s="16" t="s">
        <v>71</v>
      </c>
      <c r="H113" s="16" t="s">
        <v>96</v>
      </c>
      <c r="I113" s="16" t="s">
        <v>78</v>
      </c>
      <c r="J113" s="17">
        <v>1</v>
      </c>
      <c r="K113" s="2"/>
      <c r="N113" s="2"/>
      <c r="O113" s="2"/>
      <c r="P113" s="2"/>
      <c r="Q113" s="2"/>
      <c r="R113" s="2"/>
      <c r="S113" s="2"/>
      <c r="T113" s="2"/>
      <c r="U113" s="2"/>
      <c r="V113" s="2"/>
      <c r="W113" s="2"/>
      <c r="X113" s="2"/>
      <c r="Y113" s="2"/>
      <c r="Z113" s="2"/>
    </row>
    <row r="114" spans="1:26" ht="26.5" thickBot="1">
      <c r="A114" s="12" t="s">
        <v>168</v>
      </c>
      <c r="B114" s="15">
        <v>45367</v>
      </c>
      <c r="C114" s="16" t="s">
        <v>105</v>
      </c>
      <c r="D114" s="16" t="s">
        <v>68</v>
      </c>
      <c r="E114" s="16" t="s">
        <v>106</v>
      </c>
      <c r="F114" s="16" t="s">
        <v>81</v>
      </c>
      <c r="G114" s="16" t="s">
        <v>102</v>
      </c>
      <c r="H114" s="16" t="s">
        <v>96</v>
      </c>
      <c r="I114" s="16" t="s">
        <v>73</v>
      </c>
      <c r="J114" s="17">
        <v>2</v>
      </c>
      <c r="K114" s="2"/>
      <c r="N114" s="2"/>
      <c r="O114" s="2"/>
      <c r="P114" s="2"/>
      <c r="Q114" s="2"/>
      <c r="R114" s="2"/>
      <c r="S114" s="2"/>
      <c r="T114" s="2"/>
      <c r="U114" s="2"/>
      <c r="V114" s="2"/>
      <c r="W114" s="2"/>
      <c r="X114" s="2"/>
      <c r="Y114" s="2"/>
      <c r="Z114" s="2"/>
    </row>
    <row r="115" spans="1:26" ht="15" thickBot="1">
      <c r="A115" s="12" t="s">
        <v>169</v>
      </c>
      <c r="B115" s="15">
        <v>45337</v>
      </c>
      <c r="C115" s="16" t="s">
        <v>90</v>
      </c>
      <c r="D115" s="16" t="s">
        <v>86</v>
      </c>
      <c r="E115" s="16" t="s">
        <v>80</v>
      </c>
      <c r="F115" s="16" t="s">
        <v>70</v>
      </c>
      <c r="G115" s="16" t="s">
        <v>102</v>
      </c>
      <c r="H115" s="16" t="s">
        <v>83</v>
      </c>
      <c r="I115" s="16" t="s">
        <v>100</v>
      </c>
      <c r="J115" s="17">
        <v>1</v>
      </c>
      <c r="K115" s="2"/>
      <c r="N115" s="2"/>
      <c r="O115" s="2"/>
      <c r="P115" s="2"/>
      <c r="Q115" s="2"/>
      <c r="R115" s="2"/>
      <c r="S115" s="2"/>
      <c r="T115" s="2"/>
      <c r="U115" s="2"/>
      <c r="V115" s="2"/>
      <c r="W115" s="2"/>
      <c r="X115" s="2"/>
      <c r="Y115" s="2"/>
      <c r="Z115" s="2"/>
    </row>
    <row r="116" spans="1:26" ht="26.5" thickBot="1">
      <c r="A116" s="12" t="s">
        <v>170</v>
      </c>
      <c r="B116" s="15">
        <v>45417</v>
      </c>
      <c r="C116" s="16" t="s">
        <v>90</v>
      </c>
      <c r="D116" s="16" t="s">
        <v>68</v>
      </c>
      <c r="E116" s="16" t="s">
        <v>80</v>
      </c>
      <c r="F116" s="16" t="s">
        <v>81</v>
      </c>
      <c r="G116" s="16" t="s">
        <v>77</v>
      </c>
      <c r="H116" s="16" t="s">
        <v>72</v>
      </c>
      <c r="I116" s="16" t="s">
        <v>97</v>
      </c>
      <c r="J116" s="17">
        <v>3</v>
      </c>
      <c r="K116" s="2"/>
      <c r="N116" s="2"/>
      <c r="O116" s="2"/>
      <c r="P116" s="2"/>
      <c r="Q116" s="2"/>
      <c r="R116" s="2"/>
      <c r="S116" s="2"/>
      <c r="T116" s="2"/>
      <c r="U116" s="2"/>
      <c r="V116" s="2"/>
      <c r="W116" s="2"/>
      <c r="X116" s="2"/>
      <c r="Y116" s="2"/>
      <c r="Z116" s="2"/>
    </row>
    <row r="117" spans="1:26" ht="39" thickBot="1">
      <c r="A117" s="12" t="s">
        <v>171</v>
      </c>
      <c r="B117" s="15">
        <v>45408</v>
      </c>
      <c r="C117" s="16" t="s">
        <v>75</v>
      </c>
      <c r="D117" s="16" t="s">
        <v>91</v>
      </c>
      <c r="E117" s="16" t="s">
        <v>106</v>
      </c>
      <c r="F117" s="16" t="s">
        <v>95</v>
      </c>
      <c r="G117" s="16" t="s">
        <v>82</v>
      </c>
      <c r="H117" s="16" t="s">
        <v>72</v>
      </c>
      <c r="I117" s="16" t="s">
        <v>73</v>
      </c>
      <c r="J117" s="17">
        <v>0</v>
      </c>
      <c r="K117" s="2"/>
      <c r="N117" s="2"/>
      <c r="O117" s="2"/>
      <c r="P117" s="2"/>
      <c r="Q117" s="2"/>
      <c r="R117" s="2"/>
      <c r="S117" s="2"/>
      <c r="T117" s="2"/>
      <c r="U117" s="2"/>
      <c r="V117" s="2"/>
      <c r="W117" s="2"/>
      <c r="X117" s="2"/>
      <c r="Y117" s="2"/>
      <c r="Z117" s="2"/>
    </row>
    <row r="118" spans="1:26" ht="15" thickBot="1">
      <c r="A118" s="12" t="s">
        <v>172</v>
      </c>
      <c r="B118" s="15">
        <v>45302</v>
      </c>
      <c r="C118" s="16" t="s">
        <v>120</v>
      </c>
      <c r="D118" s="16" t="s">
        <v>91</v>
      </c>
      <c r="E118" s="16" t="s">
        <v>80</v>
      </c>
      <c r="F118" s="16" t="s">
        <v>76</v>
      </c>
      <c r="G118" s="16" t="s">
        <v>77</v>
      </c>
      <c r="H118" s="16" t="s">
        <v>96</v>
      </c>
      <c r="I118" s="16" t="s">
        <v>100</v>
      </c>
      <c r="J118" s="17">
        <v>4</v>
      </c>
      <c r="K118" s="2"/>
      <c r="N118" s="2"/>
      <c r="O118" s="2"/>
      <c r="P118" s="2"/>
      <c r="Q118" s="2"/>
      <c r="R118" s="2"/>
      <c r="S118" s="2"/>
      <c r="T118" s="2"/>
      <c r="U118" s="2"/>
      <c r="V118" s="2"/>
      <c r="W118" s="2"/>
      <c r="X118" s="2"/>
      <c r="Y118" s="2"/>
      <c r="Z118" s="2"/>
    </row>
    <row r="119" spans="1:26" ht="26.5" thickBot="1">
      <c r="A119" s="12" t="s">
        <v>173</v>
      </c>
      <c r="B119" s="15">
        <v>45430</v>
      </c>
      <c r="C119" s="16" t="s">
        <v>114</v>
      </c>
      <c r="D119" s="16" t="s">
        <v>109</v>
      </c>
      <c r="E119" s="16" t="s">
        <v>94</v>
      </c>
      <c r="F119" s="16" t="s">
        <v>70</v>
      </c>
      <c r="G119" s="16" t="s">
        <v>71</v>
      </c>
      <c r="H119" s="16" t="s">
        <v>96</v>
      </c>
      <c r="I119" s="16" t="s">
        <v>73</v>
      </c>
      <c r="J119" s="17">
        <v>2</v>
      </c>
      <c r="K119" s="2"/>
      <c r="N119" s="2"/>
      <c r="O119" s="2"/>
      <c r="P119" s="2"/>
      <c r="Q119" s="2"/>
      <c r="R119" s="2"/>
      <c r="S119" s="2"/>
      <c r="T119" s="2"/>
      <c r="U119" s="2"/>
      <c r="V119" s="2"/>
      <c r="W119" s="2"/>
      <c r="X119" s="2"/>
      <c r="Y119" s="2"/>
      <c r="Z119" s="2"/>
    </row>
    <row r="120" spans="1:26" ht="26.5" thickBot="1">
      <c r="A120" s="12" t="s">
        <v>174</v>
      </c>
      <c r="B120" s="15">
        <v>45448</v>
      </c>
      <c r="C120" s="16" t="s">
        <v>75</v>
      </c>
      <c r="D120" s="16" t="s">
        <v>91</v>
      </c>
      <c r="E120" s="16" t="s">
        <v>115</v>
      </c>
      <c r="F120" s="16" t="s">
        <v>95</v>
      </c>
      <c r="G120" s="16" t="s">
        <v>71</v>
      </c>
      <c r="H120" s="16" t="s">
        <v>107</v>
      </c>
      <c r="I120" s="16" t="s">
        <v>97</v>
      </c>
      <c r="J120" s="17">
        <v>4</v>
      </c>
      <c r="K120" s="2"/>
      <c r="N120" s="2"/>
      <c r="O120" s="2"/>
      <c r="P120" s="2"/>
      <c r="Q120" s="2"/>
      <c r="R120" s="2"/>
      <c r="S120" s="2"/>
      <c r="T120" s="2"/>
      <c r="U120" s="2"/>
      <c r="V120" s="2"/>
      <c r="W120" s="2"/>
      <c r="X120" s="2"/>
      <c r="Y120" s="2"/>
      <c r="Z120" s="2"/>
    </row>
    <row r="121" spans="1:26" ht="26.5" thickBot="1">
      <c r="A121" s="12" t="s">
        <v>175</v>
      </c>
      <c r="B121" s="15">
        <v>45352</v>
      </c>
      <c r="C121" s="16" t="s">
        <v>90</v>
      </c>
      <c r="D121" s="16" t="s">
        <v>91</v>
      </c>
      <c r="E121" s="16" t="s">
        <v>106</v>
      </c>
      <c r="F121" s="16" t="s">
        <v>81</v>
      </c>
      <c r="G121" s="16" t="s">
        <v>71</v>
      </c>
      <c r="H121" s="16" t="s">
        <v>96</v>
      </c>
      <c r="I121" s="16" t="s">
        <v>92</v>
      </c>
      <c r="J121" s="17">
        <v>1</v>
      </c>
      <c r="K121" s="2"/>
      <c r="N121" s="2"/>
      <c r="O121" s="2"/>
      <c r="P121" s="2"/>
      <c r="Q121" s="2"/>
      <c r="R121" s="2"/>
      <c r="S121" s="2"/>
      <c r="T121" s="2"/>
      <c r="U121" s="2"/>
      <c r="V121" s="2"/>
      <c r="W121" s="2"/>
      <c r="X121" s="2"/>
      <c r="Y121" s="2"/>
      <c r="Z121" s="2"/>
    </row>
    <row r="122" spans="1:26" ht="26.5" thickBot="1">
      <c r="A122" s="12" t="s">
        <v>176</v>
      </c>
      <c r="B122" s="15">
        <v>45460</v>
      </c>
      <c r="C122" s="16" t="s">
        <v>90</v>
      </c>
      <c r="D122" s="16" t="s">
        <v>91</v>
      </c>
      <c r="E122" s="16" t="s">
        <v>94</v>
      </c>
      <c r="F122" s="16" t="s">
        <v>70</v>
      </c>
      <c r="G122" s="16" t="s">
        <v>102</v>
      </c>
      <c r="H122" s="16" t="s">
        <v>83</v>
      </c>
      <c r="I122" s="16" t="s">
        <v>97</v>
      </c>
      <c r="J122" s="17">
        <v>3</v>
      </c>
      <c r="K122" s="2"/>
      <c r="N122" s="2"/>
      <c r="O122" s="2"/>
      <c r="P122" s="2"/>
      <c r="Q122" s="2"/>
      <c r="R122" s="2"/>
      <c r="S122" s="2"/>
      <c r="T122" s="2"/>
      <c r="U122" s="2"/>
      <c r="V122" s="2"/>
      <c r="W122" s="2"/>
      <c r="X122" s="2"/>
      <c r="Y122" s="2"/>
      <c r="Z122" s="2"/>
    </row>
    <row r="123" spans="1:26" ht="26.5" thickBot="1">
      <c r="A123" s="12" t="s">
        <v>177</v>
      </c>
      <c r="B123" s="15">
        <v>45399</v>
      </c>
      <c r="C123" s="16" t="s">
        <v>120</v>
      </c>
      <c r="D123" s="16" t="s">
        <v>111</v>
      </c>
      <c r="E123" s="16" t="s">
        <v>115</v>
      </c>
      <c r="F123" s="16" t="s">
        <v>95</v>
      </c>
      <c r="G123" s="16" t="s">
        <v>77</v>
      </c>
      <c r="H123" s="16" t="s">
        <v>72</v>
      </c>
      <c r="I123" s="16" t="s">
        <v>78</v>
      </c>
      <c r="J123" s="17">
        <v>4</v>
      </c>
      <c r="K123" s="2"/>
      <c r="N123" s="2"/>
      <c r="O123" s="2"/>
      <c r="P123" s="2"/>
      <c r="Q123" s="2"/>
      <c r="R123" s="2"/>
      <c r="S123" s="2"/>
      <c r="T123" s="2"/>
      <c r="U123" s="2"/>
      <c r="V123" s="2"/>
      <c r="W123" s="2"/>
      <c r="X123" s="2"/>
      <c r="Y123" s="2"/>
      <c r="Z123" s="2"/>
    </row>
    <row r="124" spans="1:26" ht="15" thickBot="1">
      <c r="A124" s="12" t="s">
        <v>178</v>
      </c>
      <c r="B124" s="15">
        <v>45437</v>
      </c>
      <c r="C124" s="16" t="s">
        <v>90</v>
      </c>
      <c r="D124" s="16" t="s">
        <v>109</v>
      </c>
      <c r="E124" s="16" t="s">
        <v>87</v>
      </c>
      <c r="F124" s="16" t="s">
        <v>95</v>
      </c>
      <c r="G124" s="16" t="s">
        <v>71</v>
      </c>
      <c r="H124" s="16" t="s">
        <v>83</v>
      </c>
      <c r="I124" s="16" t="s">
        <v>92</v>
      </c>
      <c r="J124" s="17">
        <v>4</v>
      </c>
      <c r="K124" s="2"/>
      <c r="N124" s="2"/>
      <c r="O124" s="2"/>
      <c r="P124" s="2"/>
      <c r="Q124" s="2"/>
      <c r="R124" s="2"/>
      <c r="S124" s="2"/>
      <c r="T124" s="2"/>
      <c r="U124" s="2"/>
      <c r="V124" s="2"/>
      <c r="W124" s="2"/>
      <c r="X124" s="2"/>
      <c r="Y124" s="2"/>
      <c r="Z124" s="2"/>
    </row>
    <row r="125" spans="1:26" ht="39" thickBot="1">
      <c r="A125" s="12" t="s">
        <v>179</v>
      </c>
      <c r="B125" s="15">
        <v>45330</v>
      </c>
      <c r="C125" s="16" t="s">
        <v>114</v>
      </c>
      <c r="D125" s="16" t="s">
        <v>109</v>
      </c>
      <c r="E125" s="16" t="s">
        <v>87</v>
      </c>
      <c r="F125" s="16" t="s">
        <v>70</v>
      </c>
      <c r="G125" s="16" t="s">
        <v>82</v>
      </c>
      <c r="H125" s="16" t="s">
        <v>96</v>
      </c>
      <c r="I125" s="16" t="s">
        <v>88</v>
      </c>
      <c r="J125" s="17">
        <v>2</v>
      </c>
      <c r="K125" s="2"/>
      <c r="N125" s="2"/>
      <c r="O125" s="2"/>
      <c r="P125" s="2"/>
      <c r="Q125" s="2"/>
      <c r="R125" s="2"/>
      <c r="S125" s="2"/>
      <c r="T125" s="2"/>
      <c r="U125" s="2"/>
      <c r="V125" s="2"/>
      <c r="W125" s="2"/>
      <c r="X125" s="2"/>
      <c r="Y125" s="2"/>
      <c r="Z125" s="2"/>
    </row>
    <row r="126" spans="1:26" ht="26.5" thickBot="1">
      <c r="A126" s="12" t="s">
        <v>180</v>
      </c>
      <c r="B126" s="15">
        <v>45382</v>
      </c>
      <c r="C126" s="16" t="s">
        <v>114</v>
      </c>
      <c r="D126" s="16" t="s">
        <v>111</v>
      </c>
      <c r="E126" s="16" t="s">
        <v>94</v>
      </c>
      <c r="F126" s="16" t="s">
        <v>70</v>
      </c>
      <c r="G126" s="16" t="s">
        <v>77</v>
      </c>
      <c r="H126" s="16" t="s">
        <v>83</v>
      </c>
      <c r="I126" s="16" t="s">
        <v>73</v>
      </c>
      <c r="J126" s="17">
        <v>0</v>
      </c>
      <c r="K126" s="2"/>
      <c r="N126" s="2"/>
      <c r="O126" s="2"/>
      <c r="P126" s="2"/>
      <c r="Q126" s="2"/>
      <c r="R126" s="2"/>
      <c r="S126" s="2"/>
      <c r="T126" s="2"/>
      <c r="U126" s="2"/>
      <c r="V126" s="2"/>
      <c r="W126" s="2"/>
      <c r="X126" s="2"/>
      <c r="Y126" s="2"/>
      <c r="Z126" s="2"/>
    </row>
    <row r="127" spans="1:26" ht="26.5" thickBot="1">
      <c r="A127" s="12" t="s">
        <v>181</v>
      </c>
      <c r="B127" s="15">
        <v>45329</v>
      </c>
      <c r="C127" s="16" t="s">
        <v>75</v>
      </c>
      <c r="D127" s="16" t="s">
        <v>86</v>
      </c>
      <c r="E127" s="16" t="s">
        <v>115</v>
      </c>
      <c r="F127" s="16" t="s">
        <v>70</v>
      </c>
      <c r="G127" s="16" t="s">
        <v>102</v>
      </c>
      <c r="H127" s="16" t="s">
        <v>96</v>
      </c>
      <c r="I127" s="16" t="s">
        <v>73</v>
      </c>
      <c r="J127" s="17">
        <v>5</v>
      </c>
      <c r="K127" s="2"/>
      <c r="N127" s="2"/>
      <c r="O127" s="2"/>
      <c r="P127" s="2"/>
      <c r="Q127" s="2"/>
      <c r="R127" s="2"/>
      <c r="S127" s="2"/>
      <c r="T127" s="2"/>
      <c r="U127" s="2"/>
      <c r="V127" s="2"/>
      <c r="W127" s="2"/>
      <c r="X127" s="2"/>
      <c r="Y127" s="2"/>
      <c r="Z127" s="2"/>
    </row>
    <row r="128" spans="1:26" ht="26.5" thickBot="1">
      <c r="A128" s="12" t="s">
        <v>182</v>
      </c>
      <c r="B128" s="15">
        <v>45375</v>
      </c>
      <c r="C128" s="16" t="s">
        <v>105</v>
      </c>
      <c r="D128" s="16" t="s">
        <v>68</v>
      </c>
      <c r="E128" s="16" t="s">
        <v>69</v>
      </c>
      <c r="F128" s="16" t="s">
        <v>95</v>
      </c>
      <c r="G128" s="16" t="s">
        <v>71</v>
      </c>
      <c r="H128" s="16" t="s">
        <v>96</v>
      </c>
      <c r="I128" s="16" t="s">
        <v>78</v>
      </c>
      <c r="J128" s="17">
        <v>4</v>
      </c>
      <c r="K128" s="2"/>
      <c r="N128" s="2"/>
      <c r="O128" s="2"/>
      <c r="P128" s="2"/>
      <c r="Q128" s="2"/>
      <c r="R128" s="2"/>
      <c r="S128" s="2"/>
      <c r="T128" s="2"/>
      <c r="U128" s="2"/>
      <c r="V128" s="2"/>
      <c r="W128" s="2"/>
      <c r="X128" s="2"/>
      <c r="Y128" s="2"/>
      <c r="Z128" s="2"/>
    </row>
    <row r="129" spans="1:26" ht="26.5" thickBot="1">
      <c r="A129" s="12" t="s">
        <v>183</v>
      </c>
      <c r="B129" s="15">
        <v>45320</v>
      </c>
      <c r="C129" s="16" t="s">
        <v>99</v>
      </c>
      <c r="D129" s="16" t="s">
        <v>86</v>
      </c>
      <c r="E129" s="16" t="s">
        <v>94</v>
      </c>
      <c r="F129" s="16" t="s">
        <v>70</v>
      </c>
      <c r="G129" s="16" t="s">
        <v>71</v>
      </c>
      <c r="H129" s="16" t="s">
        <v>107</v>
      </c>
      <c r="I129" s="16" t="s">
        <v>78</v>
      </c>
      <c r="J129" s="17">
        <v>0</v>
      </c>
      <c r="K129" s="2"/>
      <c r="N129" s="2"/>
      <c r="O129" s="2"/>
      <c r="P129" s="2"/>
      <c r="Q129" s="2"/>
      <c r="R129" s="2"/>
      <c r="S129" s="2"/>
      <c r="T129" s="2"/>
      <c r="U129" s="2"/>
      <c r="V129" s="2"/>
      <c r="W129" s="2"/>
      <c r="X129" s="2"/>
      <c r="Y129" s="2"/>
      <c r="Z129" s="2"/>
    </row>
    <row r="130" spans="1:26" ht="26.5" thickBot="1">
      <c r="A130" s="12" t="s">
        <v>184</v>
      </c>
      <c r="B130" s="15">
        <v>45404</v>
      </c>
      <c r="C130" s="16" t="s">
        <v>105</v>
      </c>
      <c r="D130" s="16" t="s">
        <v>86</v>
      </c>
      <c r="E130" s="16" t="s">
        <v>115</v>
      </c>
      <c r="F130" s="16" t="s">
        <v>81</v>
      </c>
      <c r="G130" s="16" t="s">
        <v>102</v>
      </c>
      <c r="H130" s="16" t="s">
        <v>83</v>
      </c>
      <c r="I130" s="16" t="s">
        <v>73</v>
      </c>
      <c r="J130" s="17">
        <v>3</v>
      </c>
      <c r="K130" s="2"/>
      <c r="N130" s="2"/>
      <c r="O130" s="2"/>
      <c r="P130" s="2"/>
      <c r="Q130" s="2"/>
      <c r="R130" s="2"/>
      <c r="S130" s="2"/>
      <c r="T130" s="2"/>
      <c r="U130" s="2"/>
      <c r="V130" s="2"/>
      <c r="W130" s="2"/>
      <c r="X130" s="2"/>
      <c r="Y130" s="2"/>
      <c r="Z130" s="2"/>
    </row>
    <row r="131" spans="1:26" ht="26.5" thickBot="1">
      <c r="A131" s="12" t="s">
        <v>185</v>
      </c>
      <c r="B131" s="15">
        <v>45424</v>
      </c>
      <c r="C131" s="16" t="s">
        <v>75</v>
      </c>
      <c r="D131" s="16" t="s">
        <v>109</v>
      </c>
      <c r="E131" s="16" t="s">
        <v>106</v>
      </c>
      <c r="F131" s="16" t="s">
        <v>81</v>
      </c>
      <c r="G131" s="16" t="s">
        <v>77</v>
      </c>
      <c r="H131" s="16" t="s">
        <v>72</v>
      </c>
      <c r="I131" s="16" t="s">
        <v>92</v>
      </c>
      <c r="J131" s="17">
        <v>4</v>
      </c>
      <c r="K131" s="2"/>
      <c r="N131" s="2"/>
      <c r="O131" s="2"/>
      <c r="P131" s="2"/>
      <c r="Q131" s="2"/>
      <c r="R131" s="2"/>
      <c r="S131" s="2"/>
      <c r="T131" s="2"/>
      <c r="U131" s="2"/>
      <c r="V131" s="2"/>
      <c r="W131" s="2"/>
      <c r="X131" s="2"/>
      <c r="Y131" s="2"/>
      <c r="Z131" s="2"/>
    </row>
    <row r="132" spans="1:26" ht="39" thickBot="1">
      <c r="A132" s="12" t="s">
        <v>186</v>
      </c>
      <c r="B132" s="15">
        <v>45319</v>
      </c>
      <c r="C132" s="16" t="s">
        <v>85</v>
      </c>
      <c r="D132" s="16" t="s">
        <v>68</v>
      </c>
      <c r="E132" s="16" t="s">
        <v>106</v>
      </c>
      <c r="F132" s="16" t="s">
        <v>95</v>
      </c>
      <c r="G132" s="16" t="s">
        <v>82</v>
      </c>
      <c r="H132" s="16" t="s">
        <v>107</v>
      </c>
      <c r="I132" s="16" t="s">
        <v>88</v>
      </c>
      <c r="J132" s="17">
        <v>2</v>
      </c>
      <c r="K132" s="2"/>
      <c r="N132" s="2"/>
      <c r="O132" s="2"/>
      <c r="P132" s="2"/>
      <c r="Q132" s="2"/>
      <c r="R132" s="2"/>
      <c r="S132" s="2"/>
      <c r="T132" s="2"/>
      <c r="U132" s="2"/>
      <c r="V132" s="2"/>
      <c r="W132" s="2"/>
      <c r="X132" s="2"/>
      <c r="Y132" s="2"/>
      <c r="Z132" s="2"/>
    </row>
    <row r="133" spans="1:26" ht="15" thickBot="1">
      <c r="A133" s="12" t="s">
        <v>187</v>
      </c>
      <c r="B133" s="15">
        <v>45308</v>
      </c>
      <c r="C133" s="16" t="s">
        <v>99</v>
      </c>
      <c r="D133" s="16" t="s">
        <v>91</v>
      </c>
      <c r="E133" s="16" t="s">
        <v>87</v>
      </c>
      <c r="F133" s="16" t="s">
        <v>76</v>
      </c>
      <c r="G133" s="16" t="s">
        <v>102</v>
      </c>
      <c r="H133" s="16" t="s">
        <v>107</v>
      </c>
      <c r="I133" s="16" t="s">
        <v>100</v>
      </c>
      <c r="J133" s="17">
        <v>3</v>
      </c>
      <c r="K133" s="2"/>
      <c r="N133" s="2"/>
      <c r="O133" s="2"/>
      <c r="P133" s="2"/>
      <c r="Q133" s="2"/>
      <c r="R133" s="2"/>
      <c r="S133" s="2"/>
      <c r="T133" s="2"/>
      <c r="U133" s="2"/>
      <c r="V133" s="2"/>
      <c r="W133" s="2"/>
      <c r="X133" s="2"/>
      <c r="Y133" s="2"/>
      <c r="Z133" s="2"/>
    </row>
    <row r="134" spans="1:26" ht="26.5" thickBot="1">
      <c r="A134" s="12" t="s">
        <v>188</v>
      </c>
      <c r="B134" s="15">
        <v>45302</v>
      </c>
      <c r="C134" s="16" t="s">
        <v>120</v>
      </c>
      <c r="D134" s="16" t="s">
        <v>91</v>
      </c>
      <c r="E134" s="16" t="s">
        <v>94</v>
      </c>
      <c r="F134" s="16" t="s">
        <v>70</v>
      </c>
      <c r="G134" s="16" t="s">
        <v>71</v>
      </c>
      <c r="H134" s="16" t="s">
        <v>107</v>
      </c>
      <c r="I134" s="16" t="s">
        <v>97</v>
      </c>
      <c r="J134" s="17">
        <v>2</v>
      </c>
      <c r="K134" s="2"/>
      <c r="N134" s="2"/>
      <c r="O134" s="2"/>
      <c r="P134" s="2"/>
      <c r="Q134" s="2"/>
      <c r="R134" s="2"/>
      <c r="S134" s="2"/>
      <c r="T134" s="2"/>
      <c r="U134" s="2"/>
      <c r="V134" s="2"/>
      <c r="W134" s="2"/>
      <c r="X134" s="2"/>
      <c r="Y134" s="2"/>
      <c r="Z134" s="2"/>
    </row>
    <row r="135" spans="1:26" ht="26.5" thickBot="1">
      <c r="A135" s="12" t="s">
        <v>189</v>
      </c>
      <c r="B135" s="15">
        <v>45457</v>
      </c>
      <c r="C135" s="16" t="s">
        <v>105</v>
      </c>
      <c r="D135" s="16" t="s">
        <v>91</v>
      </c>
      <c r="E135" s="16" t="s">
        <v>106</v>
      </c>
      <c r="F135" s="16" t="s">
        <v>81</v>
      </c>
      <c r="G135" s="16" t="s">
        <v>102</v>
      </c>
      <c r="H135" s="16" t="s">
        <v>72</v>
      </c>
      <c r="I135" s="16" t="s">
        <v>88</v>
      </c>
      <c r="J135" s="17">
        <v>1</v>
      </c>
      <c r="K135" s="2"/>
      <c r="N135" s="2"/>
      <c r="O135" s="2"/>
      <c r="P135" s="2"/>
      <c r="Q135" s="2"/>
      <c r="R135" s="2"/>
      <c r="S135" s="2"/>
      <c r="T135" s="2"/>
      <c r="U135" s="2"/>
      <c r="V135" s="2"/>
      <c r="W135" s="2"/>
      <c r="X135" s="2"/>
      <c r="Y135" s="2"/>
      <c r="Z135" s="2"/>
    </row>
    <row r="136" spans="1:26" ht="15" thickBot="1">
      <c r="A136" s="12" t="s">
        <v>190</v>
      </c>
      <c r="B136" s="15">
        <v>45373</v>
      </c>
      <c r="C136" s="16" t="s">
        <v>67</v>
      </c>
      <c r="D136" s="16" t="s">
        <v>109</v>
      </c>
      <c r="E136" s="16" t="s">
        <v>80</v>
      </c>
      <c r="F136" s="16" t="s">
        <v>81</v>
      </c>
      <c r="G136" s="16" t="s">
        <v>71</v>
      </c>
      <c r="H136" s="16" t="s">
        <v>72</v>
      </c>
      <c r="I136" s="16" t="s">
        <v>92</v>
      </c>
      <c r="J136" s="17">
        <v>2</v>
      </c>
      <c r="K136" s="2"/>
      <c r="N136" s="2"/>
      <c r="O136" s="2"/>
      <c r="P136" s="2"/>
      <c r="Q136" s="2"/>
      <c r="R136" s="2"/>
      <c r="S136" s="2"/>
      <c r="T136" s="2"/>
      <c r="U136" s="2"/>
      <c r="V136" s="2"/>
      <c r="W136" s="2"/>
      <c r="X136" s="2"/>
      <c r="Y136" s="2"/>
      <c r="Z136" s="2"/>
    </row>
    <row r="137" spans="1:26" ht="26.5" thickBot="1">
      <c r="A137" s="12" t="s">
        <v>191</v>
      </c>
      <c r="B137" s="15">
        <v>45445</v>
      </c>
      <c r="C137" s="16" t="s">
        <v>114</v>
      </c>
      <c r="D137" s="16" t="s">
        <v>109</v>
      </c>
      <c r="E137" s="16" t="s">
        <v>69</v>
      </c>
      <c r="F137" s="16" t="s">
        <v>76</v>
      </c>
      <c r="G137" s="16" t="s">
        <v>71</v>
      </c>
      <c r="H137" s="16" t="s">
        <v>96</v>
      </c>
      <c r="I137" s="16" t="s">
        <v>100</v>
      </c>
      <c r="J137" s="17">
        <v>0</v>
      </c>
      <c r="K137" s="2"/>
      <c r="N137" s="2"/>
      <c r="O137" s="2"/>
      <c r="P137" s="2"/>
      <c r="Q137" s="2"/>
      <c r="R137" s="2"/>
      <c r="S137" s="2"/>
      <c r="T137" s="2"/>
      <c r="U137" s="2"/>
      <c r="V137" s="2"/>
      <c r="W137" s="2"/>
      <c r="X137" s="2"/>
      <c r="Y137" s="2"/>
      <c r="Z137" s="2"/>
    </row>
    <row r="138" spans="1:26" ht="26.5" thickBot="1">
      <c r="A138" s="12" t="s">
        <v>192</v>
      </c>
      <c r="B138" s="15">
        <v>45294</v>
      </c>
      <c r="C138" s="16" t="s">
        <v>75</v>
      </c>
      <c r="D138" s="16" t="s">
        <v>86</v>
      </c>
      <c r="E138" s="16" t="s">
        <v>94</v>
      </c>
      <c r="F138" s="16" t="s">
        <v>70</v>
      </c>
      <c r="G138" s="16" t="s">
        <v>71</v>
      </c>
      <c r="H138" s="16" t="s">
        <v>107</v>
      </c>
      <c r="I138" s="16" t="s">
        <v>73</v>
      </c>
      <c r="J138" s="17">
        <v>1</v>
      </c>
      <c r="K138" s="2"/>
      <c r="N138" s="2"/>
      <c r="O138" s="2"/>
      <c r="P138" s="2"/>
      <c r="Q138" s="2"/>
      <c r="R138" s="2"/>
      <c r="S138" s="2"/>
      <c r="T138" s="2"/>
      <c r="U138" s="2"/>
      <c r="V138" s="2"/>
      <c r="W138" s="2"/>
      <c r="X138" s="2"/>
      <c r="Y138" s="2"/>
      <c r="Z138" s="2"/>
    </row>
    <row r="139" spans="1:26" ht="39" thickBot="1">
      <c r="A139" s="12" t="s">
        <v>193</v>
      </c>
      <c r="B139" s="15">
        <v>45458</v>
      </c>
      <c r="C139" s="16" t="s">
        <v>120</v>
      </c>
      <c r="D139" s="16" t="s">
        <v>111</v>
      </c>
      <c r="E139" s="16" t="s">
        <v>69</v>
      </c>
      <c r="F139" s="16" t="s">
        <v>76</v>
      </c>
      <c r="G139" s="16" t="s">
        <v>82</v>
      </c>
      <c r="H139" s="16" t="s">
        <v>83</v>
      </c>
      <c r="I139" s="16" t="s">
        <v>100</v>
      </c>
      <c r="J139" s="17">
        <v>4</v>
      </c>
      <c r="K139" s="2"/>
      <c r="N139" s="2"/>
      <c r="O139" s="2"/>
      <c r="P139" s="2"/>
      <c r="Q139" s="2"/>
      <c r="R139" s="2"/>
      <c r="S139" s="2"/>
      <c r="T139" s="2"/>
      <c r="U139" s="2"/>
      <c r="V139" s="2"/>
      <c r="W139" s="2"/>
      <c r="X139" s="2"/>
      <c r="Y139" s="2"/>
      <c r="Z139" s="2"/>
    </row>
    <row r="140" spans="1:26" ht="26.5" thickBot="1">
      <c r="A140" s="12" t="s">
        <v>194</v>
      </c>
      <c r="B140" s="15">
        <v>45369</v>
      </c>
      <c r="C140" s="16" t="s">
        <v>67</v>
      </c>
      <c r="D140" s="16" t="s">
        <v>86</v>
      </c>
      <c r="E140" s="16" t="s">
        <v>115</v>
      </c>
      <c r="F140" s="16" t="s">
        <v>70</v>
      </c>
      <c r="G140" s="16" t="s">
        <v>77</v>
      </c>
      <c r="H140" s="16" t="s">
        <v>83</v>
      </c>
      <c r="I140" s="16" t="s">
        <v>78</v>
      </c>
      <c r="J140" s="17">
        <v>1</v>
      </c>
      <c r="K140" s="2"/>
      <c r="N140" s="2"/>
      <c r="O140" s="2"/>
      <c r="P140" s="2"/>
      <c r="Q140" s="2"/>
      <c r="R140" s="2"/>
      <c r="S140" s="2"/>
      <c r="T140" s="2"/>
      <c r="U140" s="2"/>
      <c r="V140" s="2"/>
      <c r="W140" s="2"/>
      <c r="X140" s="2"/>
      <c r="Y140" s="2"/>
      <c r="Z140" s="2"/>
    </row>
    <row r="141" spans="1:26" ht="26.5" thickBot="1">
      <c r="A141" s="12" t="s">
        <v>195</v>
      </c>
      <c r="B141" s="15">
        <v>45389</v>
      </c>
      <c r="C141" s="16" t="s">
        <v>85</v>
      </c>
      <c r="D141" s="16" t="s">
        <v>111</v>
      </c>
      <c r="E141" s="16" t="s">
        <v>106</v>
      </c>
      <c r="F141" s="16" t="s">
        <v>76</v>
      </c>
      <c r="G141" s="16" t="s">
        <v>102</v>
      </c>
      <c r="H141" s="16" t="s">
        <v>107</v>
      </c>
      <c r="I141" s="16" t="s">
        <v>78</v>
      </c>
      <c r="J141" s="17">
        <v>5</v>
      </c>
      <c r="K141" s="2"/>
      <c r="N141" s="2"/>
      <c r="O141" s="2"/>
      <c r="P141" s="2"/>
      <c r="Q141" s="2"/>
      <c r="R141" s="2"/>
      <c r="S141" s="2"/>
      <c r="T141" s="2"/>
      <c r="U141" s="2"/>
      <c r="V141" s="2"/>
      <c r="W141" s="2"/>
      <c r="X141" s="2"/>
      <c r="Y141" s="2"/>
      <c r="Z141" s="2"/>
    </row>
    <row r="142" spans="1:26" ht="26.5" thickBot="1">
      <c r="A142" s="12" t="s">
        <v>196</v>
      </c>
      <c r="B142" s="15">
        <v>45456</v>
      </c>
      <c r="C142" s="16" t="s">
        <v>120</v>
      </c>
      <c r="D142" s="16" t="s">
        <v>91</v>
      </c>
      <c r="E142" s="16" t="s">
        <v>80</v>
      </c>
      <c r="F142" s="16" t="s">
        <v>70</v>
      </c>
      <c r="G142" s="16" t="s">
        <v>77</v>
      </c>
      <c r="H142" s="16" t="s">
        <v>83</v>
      </c>
      <c r="I142" s="16" t="s">
        <v>78</v>
      </c>
      <c r="J142" s="17">
        <v>0</v>
      </c>
      <c r="K142" s="2"/>
      <c r="N142" s="2"/>
      <c r="O142" s="2"/>
      <c r="P142" s="2"/>
      <c r="Q142" s="2"/>
      <c r="R142" s="2"/>
      <c r="S142" s="2"/>
      <c r="T142" s="2"/>
      <c r="U142" s="2"/>
      <c r="V142" s="2"/>
      <c r="W142" s="2"/>
      <c r="X142" s="2"/>
      <c r="Y142" s="2"/>
      <c r="Z142" s="2"/>
    </row>
    <row r="143" spans="1:26" ht="26.5" thickBot="1">
      <c r="A143" s="12" t="s">
        <v>197</v>
      </c>
      <c r="B143" s="15">
        <v>45342</v>
      </c>
      <c r="C143" s="16" t="s">
        <v>75</v>
      </c>
      <c r="D143" s="16" t="s">
        <v>86</v>
      </c>
      <c r="E143" s="16" t="s">
        <v>80</v>
      </c>
      <c r="F143" s="16" t="s">
        <v>70</v>
      </c>
      <c r="G143" s="16" t="s">
        <v>77</v>
      </c>
      <c r="H143" s="16" t="s">
        <v>96</v>
      </c>
      <c r="I143" s="16" t="s">
        <v>97</v>
      </c>
      <c r="J143" s="17">
        <v>3</v>
      </c>
      <c r="K143" s="2"/>
      <c r="N143" s="2"/>
      <c r="O143" s="2"/>
      <c r="P143" s="2"/>
      <c r="Q143" s="2"/>
      <c r="R143" s="2"/>
      <c r="S143" s="2"/>
      <c r="T143" s="2"/>
      <c r="U143" s="2"/>
      <c r="V143" s="2"/>
      <c r="W143" s="2"/>
      <c r="X143" s="2"/>
      <c r="Y143" s="2"/>
      <c r="Z143" s="2"/>
    </row>
    <row r="144" spans="1:26" ht="39" thickBot="1">
      <c r="A144" s="12" t="s">
        <v>198</v>
      </c>
      <c r="B144" s="15">
        <v>45313</v>
      </c>
      <c r="C144" s="16" t="s">
        <v>90</v>
      </c>
      <c r="D144" s="16" t="s">
        <v>91</v>
      </c>
      <c r="E144" s="16" t="s">
        <v>94</v>
      </c>
      <c r="F144" s="16" t="s">
        <v>70</v>
      </c>
      <c r="G144" s="16" t="s">
        <v>82</v>
      </c>
      <c r="H144" s="16" t="s">
        <v>96</v>
      </c>
      <c r="I144" s="16" t="s">
        <v>97</v>
      </c>
      <c r="J144" s="17">
        <v>5</v>
      </c>
      <c r="K144" s="2"/>
      <c r="N144" s="2"/>
      <c r="O144" s="2"/>
      <c r="P144" s="2"/>
      <c r="Q144" s="2"/>
      <c r="R144" s="2"/>
      <c r="S144" s="2"/>
      <c r="T144" s="2"/>
      <c r="U144" s="2"/>
      <c r="V144" s="2"/>
      <c r="W144" s="2"/>
      <c r="X144" s="2"/>
      <c r="Y144" s="2"/>
      <c r="Z144" s="2"/>
    </row>
    <row r="145" spans="1:26" ht="26.5" thickBot="1">
      <c r="A145" s="12" t="s">
        <v>199</v>
      </c>
      <c r="B145" s="15">
        <v>45403</v>
      </c>
      <c r="C145" s="16" t="s">
        <v>99</v>
      </c>
      <c r="D145" s="16" t="s">
        <v>109</v>
      </c>
      <c r="E145" s="16" t="s">
        <v>87</v>
      </c>
      <c r="F145" s="16" t="s">
        <v>81</v>
      </c>
      <c r="G145" s="16" t="s">
        <v>77</v>
      </c>
      <c r="H145" s="16" t="s">
        <v>83</v>
      </c>
      <c r="I145" s="16" t="s">
        <v>97</v>
      </c>
      <c r="J145" s="17">
        <v>3</v>
      </c>
      <c r="K145" s="2"/>
      <c r="N145" s="2"/>
      <c r="O145" s="2"/>
      <c r="P145" s="2"/>
      <c r="Q145" s="2"/>
      <c r="R145" s="2"/>
      <c r="S145" s="2"/>
      <c r="T145" s="2"/>
      <c r="U145" s="2"/>
      <c r="V145" s="2"/>
      <c r="W145" s="2"/>
      <c r="X145" s="2"/>
      <c r="Y145" s="2"/>
      <c r="Z145" s="2"/>
    </row>
    <row r="146" spans="1:26" ht="26.5" thickBot="1">
      <c r="A146" s="12" t="s">
        <v>200</v>
      </c>
      <c r="B146" s="15">
        <v>45390</v>
      </c>
      <c r="C146" s="16" t="s">
        <v>99</v>
      </c>
      <c r="D146" s="16" t="s">
        <v>111</v>
      </c>
      <c r="E146" s="16" t="s">
        <v>106</v>
      </c>
      <c r="F146" s="16" t="s">
        <v>81</v>
      </c>
      <c r="G146" s="16" t="s">
        <v>102</v>
      </c>
      <c r="H146" s="16" t="s">
        <v>107</v>
      </c>
      <c r="I146" s="16" t="s">
        <v>100</v>
      </c>
      <c r="J146" s="17">
        <v>0</v>
      </c>
      <c r="K146" s="2"/>
      <c r="N146" s="2"/>
      <c r="O146" s="2"/>
      <c r="P146" s="2"/>
      <c r="Q146" s="2"/>
      <c r="R146" s="2"/>
      <c r="S146" s="2"/>
      <c r="T146" s="2"/>
      <c r="U146" s="2"/>
      <c r="V146" s="2"/>
      <c r="W146" s="2"/>
      <c r="X146" s="2"/>
      <c r="Y146" s="2"/>
      <c r="Z146" s="2"/>
    </row>
    <row r="147" spans="1:26" ht="26.5" thickBot="1">
      <c r="A147" s="12" t="s">
        <v>201</v>
      </c>
      <c r="B147" s="15">
        <v>45464</v>
      </c>
      <c r="C147" s="16" t="s">
        <v>120</v>
      </c>
      <c r="D147" s="16" t="s">
        <v>68</v>
      </c>
      <c r="E147" s="16" t="s">
        <v>69</v>
      </c>
      <c r="F147" s="16" t="s">
        <v>70</v>
      </c>
      <c r="G147" s="16" t="s">
        <v>102</v>
      </c>
      <c r="H147" s="16" t="s">
        <v>96</v>
      </c>
      <c r="I147" s="16" t="s">
        <v>97</v>
      </c>
      <c r="J147" s="17">
        <v>4</v>
      </c>
      <c r="K147" s="2"/>
      <c r="N147" s="2"/>
      <c r="O147" s="2"/>
      <c r="P147" s="2"/>
      <c r="Q147" s="2"/>
      <c r="R147" s="2"/>
      <c r="S147" s="2"/>
      <c r="T147" s="2"/>
      <c r="U147" s="2"/>
      <c r="V147" s="2"/>
      <c r="W147" s="2"/>
      <c r="X147" s="2"/>
      <c r="Y147" s="2"/>
      <c r="Z147" s="2"/>
    </row>
    <row r="148" spans="1:26" ht="26.5" thickBot="1">
      <c r="A148" s="12" t="s">
        <v>202</v>
      </c>
      <c r="B148" s="15">
        <v>45317</v>
      </c>
      <c r="C148" s="16" t="s">
        <v>105</v>
      </c>
      <c r="D148" s="16" t="s">
        <v>111</v>
      </c>
      <c r="E148" s="16" t="s">
        <v>106</v>
      </c>
      <c r="F148" s="16" t="s">
        <v>81</v>
      </c>
      <c r="G148" s="16" t="s">
        <v>77</v>
      </c>
      <c r="H148" s="16" t="s">
        <v>107</v>
      </c>
      <c r="I148" s="16" t="s">
        <v>73</v>
      </c>
      <c r="J148" s="17">
        <v>2</v>
      </c>
      <c r="K148" s="2"/>
      <c r="N148" s="2"/>
      <c r="O148" s="2"/>
      <c r="P148" s="2"/>
      <c r="Q148" s="2"/>
      <c r="R148" s="2"/>
      <c r="S148" s="2"/>
      <c r="T148" s="2"/>
      <c r="U148" s="2"/>
      <c r="V148" s="2"/>
      <c r="W148" s="2"/>
      <c r="X148" s="2"/>
      <c r="Y148" s="2"/>
      <c r="Z148" s="2"/>
    </row>
    <row r="149" spans="1:26" ht="15" thickBot="1">
      <c r="A149" s="2"/>
      <c r="B149" s="2"/>
      <c r="C149" s="2"/>
      <c r="D149" s="2"/>
      <c r="E149" s="2"/>
      <c r="F149" s="2"/>
      <c r="G149" s="2"/>
      <c r="H149" s="2"/>
      <c r="I149" s="2"/>
      <c r="J149" s="2"/>
      <c r="K149" s="2"/>
      <c r="N149" s="2"/>
      <c r="O149" s="2"/>
      <c r="P149" s="2"/>
      <c r="Q149" s="2"/>
      <c r="R149" s="2"/>
      <c r="S149" s="2"/>
      <c r="T149" s="2"/>
      <c r="U149" s="2"/>
      <c r="V149" s="2"/>
      <c r="W149" s="2"/>
      <c r="X149" s="2"/>
      <c r="Y149" s="2"/>
      <c r="Z149" s="2"/>
    </row>
    <row r="150" spans="1:26" ht="15" thickBot="1">
      <c r="A150" s="2"/>
      <c r="B150" s="2"/>
      <c r="C150" s="2"/>
      <c r="D150" s="2"/>
      <c r="E150" s="2"/>
      <c r="F150" s="2"/>
      <c r="G150" s="2"/>
      <c r="H150" s="2"/>
      <c r="I150" s="2"/>
      <c r="J150" s="2"/>
      <c r="K150" s="2"/>
      <c r="N150" s="2"/>
      <c r="O150" s="2"/>
      <c r="P150" s="2"/>
      <c r="Q150" s="2"/>
      <c r="R150" s="2"/>
      <c r="S150" s="2"/>
      <c r="T150" s="2"/>
      <c r="U150" s="2"/>
      <c r="V150" s="2"/>
      <c r="W150" s="2"/>
      <c r="X150" s="2"/>
      <c r="Y150" s="2"/>
      <c r="Z150" s="2"/>
    </row>
    <row r="151" spans="1:26" ht="15" thickBot="1">
      <c r="A151" s="1" t="s">
        <v>203</v>
      </c>
      <c r="B151" s="2"/>
      <c r="C151" s="2"/>
      <c r="D151" s="2"/>
      <c r="E151" s="2"/>
      <c r="F151" s="2"/>
      <c r="G151" s="2"/>
      <c r="H151" s="2"/>
      <c r="I151" s="2"/>
      <c r="J151" s="2"/>
      <c r="K151" s="2"/>
      <c r="N151" s="2"/>
      <c r="O151" s="2"/>
      <c r="P151" s="2"/>
      <c r="Q151" s="2"/>
      <c r="R151" s="2"/>
      <c r="S151" s="2"/>
      <c r="T151" s="2"/>
      <c r="U151" s="2"/>
      <c r="V151" s="2"/>
      <c r="W151" s="2"/>
      <c r="X151" s="2"/>
      <c r="Y151" s="2"/>
      <c r="Z151" s="2"/>
    </row>
    <row r="152" spans="1:26" ht="15" thickBot="1">
      <c r="A152" s="2"/>
      <c r="B152" s="2"/>
      <c r="C152" s="2"/>
      <c r="D152" s="2"/>
      <c r="E152" s="2"/>
      <c r="F152" s="2"/>
      <c r="G152" s="2"/>
      <c r="H152" s="2"/>
      <c r="I152" s="2"/>
      <c r="J152" s="2"/>
      <c r="K152" s="2"/>
      <c r="N152" s="2"/>
      <c r="O152" s="2"/>
      <c r="P152" s="2"/>
      <c r="Q152" s="2"/>
      <c r="R152" s="2"/>
      <c r="S152" s="2"/>
      <c r="T152" s="2"/>
      <c r="U152" s="2"/>
      <c r="V152" s="2"/>
      <c r="W152" s="2"/>
      <c r="X152" s="2"/>
      <c r="Y152" s="2"/>
      <c r="Z152" s="2"/>
    </row>
    <row r="153" spans="1:26" ht="15" thickBot="1">
      <c r="A153" s="5" t="s">
        <v>204</v>
      </c>
      <c r="B153" s="6"/>
      <c r="C153" s="6"/>
      <c r="D153" s="2"/>
      <c r="E153" s="2"/>
      <c r="F153" s="2"/>
      <c r="G153" s="2"/>
      <c r="H153" s="2"/>
      <c r="I153" s="2"/>
      <c r="J153" s="2"/>
      <c r="K153" s="2"/>
      <c r="N153" s="2"/>
      <c r="O153" s="2"/>
      <c r="P153" s="2"/>
      <c r="Q153" s="2"/>
      <c r="R153" s="2"/>
      <c r="S153" s="2"/>
      <c r="T153" s="2"/>
      <c r="U153" s="2"/>
      <c r="V153" s="2"/>
      <c r="W153" s="2"/>
      <c r="X153" s="2"/>
      <c r="Y153" s="2"/>
      <c r="Z153" s="2"/>
    </row>
    <row r="154" spans="1:26" ht="15" thickBot="1">
      <c r="A154" s="18" t="s">
        <v>205</v>
      </c>
      <c r="B154" s="19" t="s">
        <v>206</v>
      </c>
      <c r="C154" s="19" t="s">
        <v>207</v>
      </c>
      <c r="D154" s="2"/>
      <c r="E154" s="2"/>
      <c r="F154" s="2"/>
      <c r="G154" s="2"/>
      <c r="H154" s="2"/>
      <c r="I154" s="2"/>
      <c r="J154" s="2"/>
      <c r="K154" s="2"/>
      <c r="N154" s="2"/>
      <c r="O154" s="2"/>
      <c r="P154" s="2"/>
      <c r="Q154" s="2"/>
      <c r="R154" s="2"/>
      <c r="S154" s="2"/>
      <c r="T154" s="2"/>
      <c r="U154" s="2"/>
      <c r="V154" s="2"/>
      <c r="W154" s="2"/>
      <c r="X154" s="2"/>
      <c r="Y154" s="2"/>
      <c r="Z154" s="2"/>
    </row>
    <row r="155" spans="1:26" ht="15" thickBot="1">
      <c r="A155" s="7" t="s">
        <v>208</v>
      </c>
      <c r="B155" s="8" t="s">
        <v>209</v>
      </c>
      <c r="C155" s="20">
        <v>5</v>
      </c>
      <c r="D155" s="2"/>
      <c r="E155" s="2"/>
      <c r="F155" s="2"/>
      <c r="G155" s="2"/>
      <c r="H155" s="2"/>
      <c r="I155" s="2"/>
      <c r="J155" s="2"/>
      <c r="K155" s="2"/>
      <c r="N155" s="2"/>
      <c r="O155" s="2"/>
      <c r="P155" s="2"/>
      <c r="Q155" s="2"/>
      <c r="R155" s="2"/>
      <c r="S155" s="2"/>
      <c r="T155" s="2"/>
      <c r="U155" s="2"/>
      <c r="V155" s="2"/>
      <c r="W155" s="2"/>
      <c r="X155" s="2"/>
      <c r="Y155" s="2"/>
      <c r="Z155" s="2"/>
    </row>
    <row r="156" spans="1:26" ht="15" thickBot="1">
      <c r="A156" s="7" t="s">
        <v>210</v>
      </c>
      <c r="B156" s="8" t="s">
        <v>211</v>
      </c>
      <c r="C156" s="20">
        <v>65</v>
      </c>
      <c r="D156" s="2"/>
      <c r="E156" s="2"/>
      <c r="F156" s="2"/>
      <c r="G156" s="2"/>
      <c r="H156" s="2"/>
      <c r="I156" s="2"/>
      <c r="J156" s="2"/>
      <c r="K156" s="2"/>
      <c r="N156" s="2"/>
      <c r="O156" s="2"/>
      <c r="P156" s="2"/>
      <c r="Q156" s="2"/>
      <c r="R156" s="2"/>
      <c r="S156" s="2"/>
      <c r="T156" s="2"/>
      <c r="U156" s="2"/>
      <c r="V156" s="2"/>
      <c r="W156" s="2"/>
      <c r="X156" s="2"/>
      <c r="Y156" s="2"/>
      <c r="Z156" s="2"/>
    </row>
    <row r="157" spans="1:26" ht="15" thickBot="1">
      <c r="A157" s="7" t="s">
        <v>212</v>
      </c>
      <c r="B157" s="8" t="s">
        <v>213</v>
      </c>
      <c r="C157" s="20">
        <v>12</v>
      </c>
      <c r="D157" s="2"/>
      <c r="E157" s="2"/>
      <c r="F157" s="2"/>
      <c r="G157" s="2"/>
      <c r="H157" s="2"/>
      <c r="I157" s="2"/>
      <c r="J157" s="2"/>
      <c r="K157" s="2"/>
      <c r="N157" s="2"/>
      <c r="O157" s="2"/>
      <c r="P157" s="2"/>
      <c r="Q157" s="2"/>
      <c r="R157" s="2"/>
      <c r="S157" s="2"/>
      <c r="T157" s="2"/>
      <c r="U157" s="2"/>
      <c r="V157" s="2"/>
      <c r="W157" s="2"/>
      <c r="X157" s="2"/>
      <c r="Y157" s="2"/>
      <c r="Z157" s="2"/>
    </row>
    <row r="158" spans="1:26" ht="15" thickBot="1">
      <c r="A158" s="7" t="s">
        <v>214</v>
      </c>
      <c r="B158" s="8" t="s">
        <v>215</v>
      </c>
      <c r="C158" s="20">
        <v>8</v>
      </c>
      <c r="D158" s="2"/>
      <c r="E158" s="2"/>
      <c r="F158" s="2"/>
      <c r="G158" s="2"/>
      <c r="H158" s="2"/>
      <c r="I158" s="2"/>
      <c r="J158" s="2"/>
      <c r="K158" s="2"/>
      <c r="N158" s="2"/>
      <c r="O158" s="2"/>
      <c r="P158" s="2"/>
      <c r="Q158" s="2"/>
      <c r="R158" s="2"/>
      <c r="S158" s="2"/>
      <c r="T158" s="2"/>
      <c r="U158" s="2"/>
      <c r="V158" s="2"/>
      <c r="W158" s="2"/>
      <c r="X158" s="2"/>
      <c r="Y158" s="2"/>
      <c r="Z158" s="2"/>
    </row>
    <row r="159" spans="1:26" ht="15" thickBot="1">
      <c r="A159" s="7" t="s">
        <v>216</v>
      </c>
      <c r="B159" s="8" t="s">
        <v>217</v>
      </c>
      <c r="C159" s="20">
        <v>52</v>
      </c>
      <c r="D159" s="2"/>
      <c r="E159" s="2"/>
      <c r="F159" s="2"/>
      <c r="G159" s="2"/>
      <c r="H159" s="2"/>
      <c r="I159" s="2"/>
      <c r="J159" s="2"/>
      <c r="K159" s="2"/>
      <c r="N159" s="2"/>
      <c r="O159" s="2"/>
      <c r="P159" s="2"/>
      <c r="Q159" s="2"/>
      <c r="R159" s="2"/>
      <c r="S159" s="2"/>
      <c r="T159" s="2"/>
      <c r="U159" s="2"/>
      <c r="V159" s="2"/>
      <c r="W159" s="2"/>
      <c r="X159" s="2"/>
      <c r="Y159" s="2"/>
      <c r="Z159" s="2"/>
    </row>
    <row r="160" spans="1:26" ht="15" thickBot="1">
      <c r="A160" s="7" t="s">
        <v>218</v>
      </c>
      <c r="B160" s="8" t="s">
        <v>219</v>
      </c>
      <c r="C160" s="20">
        <v>90</v>
      </c>
      <c r="D160" s="2"/>
      <c r="E160" s="2"/>
      <c r="F160" s="2"/>
      <c r="G160" s="2"/>
      <c r="H160" s="2"/>
      <c r="I160" s="2"/>
      <c r="J160" s="2"/>
      <c r="K160" s="2"/>
      <c r="N160" s="2"/>
      <c r="O160" s="2"/>
      <c r="P160" s="2"/>
      <c r="Q160" s="2"/>
      <c r="R160" s="2"/>
      <c r="S160" s="2"/>
      <c r="T160" s="2"/>
      <c r="U160" s="2"/>
      <c r="V160" s="2"/>
      <c r="W160" s="2"/>
      <c r="X160" s="2"/>
      <c r="Y160" s="2"/>
      <c r="Z160" s="2"/>
    </row>
    <row r="161" spans="1:26" ht="15" thickBot="1">
      <c r="A161" s="7" t="s">
        <v>220</v>
      </c>
      <c r="B161" s="8" t="s">
        <v>221</v>
      </c>
      <c r="C161" s="20">
        <v>3</v>
      </c>
      <c r="D161" s="2"/>
      <c r="E161" s="2"/>
      <c r="F161" s="2"/>
      <c r="G161" s="2"/>
      <c r="H161" s="2"/>
      <c r="I161" s="2"/>
      <c r="J161" s="2"/>
      <c r="K161" s="2"/>
      <c r="N161" s="2"/>
      <c r="O161" s="2"/>
      <c r="P161" s="2"/>
      <c r="Q161" s="2"/>
      <c r="R161" s="2"/>
      <c r="S161" s="2"/>
      <c r="T161" s="2"/>
      <c r="U161" s="2"/>
      <c r="V161" s="2"/>
      <c r="W161" s="2"/>
      <c r="X161" s="2"/>
      <c r="Y161" s="2"/>
      <c r="Z161" s="2"/>
    </row>
    <row r="162" spans="1:26" ht="15" thickBot="1">
      <c r="A162" s="7" t="s">
        <v>222</v>
      </c>
      <c r="B162" s="8" t="s">
        <v>223</v>
      </c>
      <c r="C162" s="20">
        <v>25</v>
      </c>
      <c r="D162" s="2"/>
      <c r="E162" s="2"/>
      <c r="F162" s="2"/>
      <c r="G162" s="2"/>
      <c r="H162" s="2"/>
      <c r="I162" s="2"/>
      <c r="J162" s="2"/>
      <c r="K162" s="2"/>
      <c r="N162" s="2"/>
      <c r="O162" s="2"/>
      <c r="P162" s="2"/>
      <c r="Q162" s="2"/>
      <c r="R162" s="2"/>
      <c r="S162" s="2"/>
      <c r="T162" s="2"/>
      <c r="U162" s="2"/>
      <c r="V162" s="2"/>
      <c r="W162" s="2"/>
      <c r="X162" s="2"/>
      <c r="Y162" s="2"/>
      <c r="Z162" s="2"/>
    </row>
    <row r="163" spans="1:26" ht="15" thickBot="1">
      <c r="A163" s="7" t="s">
        <v>224</v>
      </c>
      <c r="B163" s="8" t="s">
        <v>225</v>
      </c>
      <c r="C163" s="20">
        <v>7</v>
      </c>
      <c r="D163" s="2"/>
      <c r="E163" s="2"/>
      <c r="F163" s="2"/>
      <c r="G163" s="2"/>
      <c r="H163" s="2"/>
      <c r="I163" s="2"/>
      <c r="J163" s="2"/>
      <c r="K163" s="2"/>
      <c r="N163" s="2"/>
      <c r="O163" s="2"/>
      <c r="P163" s="2"/>
      <c r="Q163" s="2"/>
      <c r="R163" s="2"/>
      <c r="S163" s="2"/>
      <c r="T163" s="2"/>
      <c r="U163" s="2"/>
      <c r="V163" s="2"/>
      <c r="W163" s="2"/>
      <c r="X163" s="2"/>
      <c r="Y163" s="2"/>
      <c r="Z163" s="2"/>
    </row>
    <row r="164" spans="1:26" ht="15" thickBot="1">
      <c r="A164" s="7" t="s">
        <v>226</v>
      </c>
      <c r="B164" s="8" t="s">
        <v>227</v>
      </c>
      <c r="C164" s="20">
        <v>55</v>
      </c>
      <c r="D164" s="2"/>
      <c r="E164" s="2"/>
      <c r="F164" s="2"/>
      <c r="G164" s="2"/>
      <c r="H164" s="2"/>
      <c r="I164" s="2"/>
      <c r="J164" s="2"/>
      <c r="K164" s="2"/>
      <c r="N164" s="2"/>
      <c r="O164" s="2"/>
      <c r="P164" s="2"/>
      <c r="Q164" s="2"/>
      <c r="R164" s="2"/>
      <c r="S164" s="2"/>
      <c r="T164" s="2"/>
      <c r="U164" s="2"/>
      <c r="V164" s="2"/>
      <c r="W164" s="2"/>
      <c r="X164" s="2"/>
      <c r="Y164" s="2"/>
      <c r="Z164" s="2"/>
    </row>
    <row r="165" spans="1:26" ht="15" thickBot="1">
      <c r="A165" s="2"/>
      <c r="B165" s="2"/>
      <c r="C165" s="2"/>
      <c r="D165" s="2"/>
      <c r="E165" s="2"/>
      <c r="F165" s="2"/>
      <c r="G165" s="2"/>
      <c r="H165" s="2"/>
      <c r="I165" s="2"/>
      <c r="J165" s="2"/>
      <c r="K165" s="2"/>
      <c r="N165" s="2"/>
      <c r="O165" s="2"/>
      <c r="P165" s="2"/>
      <c r="Q165" s="2"/>
      <c r="R165" s="2"/>
      <c r="S165" s="2"/>
      <c r="T165" s="2"/>
      <c r="U165" s="2"/>
      <c r="V165" s="2"/>
      <c r="W165" s="2"/>
      <c r="X165" s="2"/>
      <c r="Y165" s="2"/>
      <c r="Z165" s="2"/>
    </row>
    <row r="166" spans="1:26" ht="17.5" customHeight="1" thickBot="1">
      <c r="A166" s="2"/>
      <c r="B166" s="2"/>
      <c r="C166" s="2"/>
      <c r="D166" s="2"/>
      <c r="E166" s="2"/>
      <c r="F166" s="2"/>
      <c r="G166" s="2"/>
      <c r="H166" s="2"/>
      <c r="I166" s="2"/>
      <c r="J166" s="2"/>
      <c r="K166" s="2"/>
      <c r="N166" s="2"/>
      <c r="O166" s="2"/>
      <c r="P166" s="2"/>
      <c r="Q166" s="2"/>
      <c r="R166" s="2"/>
      <c r="S166" s="2"/>
      <c r="T166" s="2"/>
      <c r="U166" s="2"/>
      <c r="V166" s="2"/>
      <c r="W166" s="2"/>
      <c r="X166" s="2"/>
      <c r="Y166" s="2"/>
      <c r="Z166" s="2"/>
    </row>
    <row r="167" spans="1:26" s="27" customFormat="1" ht="56" customHeight="1" thickBot="1">
      <c r="A167" s="34" t="s">
        <v>232</v>
      </c>
      <c r="B167" s="35"/>
      <c r="C167" s="35"/>
      <c r="D167" s="35"/>
      <c r="E167" s="35"/>
      <c r="F167" s="35"/>
      <c r="G167" s="35"/>
      <c r="H167" s="35"/>
      <c r="I167" s="35"/>
      <c r="J167" s="35"/>
      <c r="K167" s="35"/>
      <c r="L167" s="35"/>
      <c r="M167" s="28"/>
      <c r="N167" s="28"/>
      <c r="O167" s="28"/>
      <c r="P167" s="28"/>
      <c r="Q167" s="28"/>
      <c r="R167" s="28"/>
      <c r="S167" s="28"/>
      <c r="T167" s="28"/>
      <c r="U167" s="28"/>
      <c r="V167" s="28"/>
      <c r="W167" s="28"/>
      <c r="X167" s="28"/>
      <c r="Y167" s="28"/>
      <c r="Z167" s="28"/>
    </row>
    <row r="168" spans="1:26" ht="15" thickBot="1">
      <c r="A168" s="2" t="s">
        <v>231</v>
      </c>
      <c r="B168" s="2" t="s">
        <v>349</v>
      </c>
      <c r="C168" s="2"/>
      <c r="D168" s="2"/>
      <c r="E168" s="2"/>
      <c r="F168" s="2"/>
      <c r="G168" s="2"/>
      <c r="H168" s="2"/>
      <c r="I168" s="2"/>
      <c r="J168" s="2"/>
      <c r="K168" s="2"/>
      <c r="N168" s="2"/>
      <c r="O168" s="2"/>
      <c r="P168" s="2"/>
      <c r="Q168" s="2"/>
      <c r="R168" s="2"/>
      <c r="S168" s="2"/>
      <c r="T168" s="2"/>
      <c r="U168" s="2"/>
      <c r="V168" s="2"/>
      <c r="W168" s="2"/>
      <c r="X168" s="2"/>
      <c r="Y168" s="2"/>
      <c r="Z168" s="2"/>
    </row>
    <row r="169" spans="1:26" ht="44" thickBot="1">
      <c r="A169" s="29" t="s">
        <v>233</v>
      </c>
      <c r="B169" s="30" t="s">
        <v>57</v>
      </c>
      <c r="C169" s="30" t="s">
        <v>234</v>
      </c>
      <c r="D169" s="30" t="s">
        <v>235</v>
      </c>
      <c r="E169" s="30" t="s">
        <v>236</v>
      </c>
      <c r="F169" s="30" t="s">
        <v>206</v>
      </c>
      <c r="G169" s="30" t="s">
        <v>237</v>
      </c>
      <c r="H169" s="30" t="s">
        <v>238</v>
      </c>
      <c r="I169" s="30" t="s">
        <v>239</v>
      </c>
      <c r="J169" s="30" t="s">
        <v>240</v>
      </c>
      <c r="K169" s="30" t="s">
        <v>241</v>
      </c>
      <c r="L169" s="30" t="s">
        <v>242</v>
      </c>
      <c r="N169" s="2" t="s">
        <v>246</v>
      </c>
      <c r="O169" s="2">
        <f>VLOOKUP(N169, $F$170:$H$218, 3, FALSE)</f>
        <v>999</v>
      </c>
      <c r="P169" s="2"/>
      <c r="Q169" s="2"/>
      <c r="R169" s="2"/>
      <c r="S169" s="2"/>
      <c r="T169" s="2"/>
      <c r="U169" s="2"/>
      <c r="V169" s="2"/>
      <c r="W169" s="2"/>
      <c r="X169" s="2"/>
      <c r="Y169" s="2"/>
      <c r="Z169" s="2"/>
    </row>
    <row r="170" spans="1:26" ht="29.5" thickBot="1">
      <c r="A170" s="31">
        <v>1001</v>
      </c>
      <c r="B170" s="32">
        <v>45658</v>
      </c>
      <c r="C170" s="33" t="s">
        <v>243</v>
      </c>
      <c r="D170" s="33" t="s">
        <v>244</v>
      </c>
      <c r="E170" s="33" t="s">
        <v>245</v>
      </c>
      <c r="F170" s="33" t="s">
        <v>246</v>
      </c>
      <c r="G170" s="31">
        <v>10</v>
      </c>
      <c r="H170" s="31">
        <v>999</v>
      </c>
      <c r="I170" s="31">
        <v>999</v>
      </c>
      <c r="J170" s="31">
        <v>998001</v>
      </c>
      <c r="K170" s="31">
        <v>28</v>
      </c>
      <c r="L170" s="33" t="s">
        <v>247</v>
      </c>
      <c r="N170" s="2"/>
      <c r="O170" s="2"/>
      <c r="P170" s="2"/>
      <c r="Q170" s="2"/>
      <c r="R170" s="2"/>
      <c r="S170" s="2"/>
      <c r="T170" s="2"/>
      <c r="U170" s="2"/>
      <c r="V170" s="2"/>
      <c r="W170" s="2"/>
      <c r="X170" s="2"/>
      <c r="Y170" s="2"/>
      <c r="Z170" s="2"/>
    </row>
    <row r="171" spans="1:26" ht="29.5" thickBot="1">
      <c r="A171" s="31">
        <v>1003</v>
      </c>
      <c r="B171" s="32">
        <v>45660</v>
      </c>
      <c r="C171" s="33" t="s">
        <v>248</v>
      </c>
      <c r="D171" s="33" t="s">
        <v>249</v>
      </c>
      <c r="E171" s="33" t="s">
        <v>250</v>
      </c>
      <c r="F171" s="33" t="s">
        <v>251</v>
      </c>
      <c r="G171" s="31">
        <v>3</v>
      </c>
      <c r="H171" s="31">
        <v>1999</v>
      </c>
      <c r="I171" s="31">
        <v>5997</v>
      </c>
      <c r="J171" s="31">
        <v>25</v>
      </c>
      <c r="K171" s="31">
        <v>40</v>
      </c>
      <c r="L171" s="33" t="s">
        <v>252</v>
      </c>
      <c r="N171" s="2"/>
      <c r="O171" s="2"/>
      <c r="P171" s="2"/>
      <c r="Q171" s="2"/>
      <c r="R171" s="2"/>
      <c r="S171" s="2"/>
      <c r="T171" s="2"/>
      <c r="U171" s="2"/>
      <c r="V171" s="2"/>
      <c r="W171" s="2"/>
      <c r="X171" s="2"/>
      <c r="Y171" s="2"/>
      <c r="Z171" s="2"/>
    </row>
    <row r="172" spans="1:26" ht="44" thickBot="1">
      <c r="A172" s="31">
        <v>1004</v>
      </c>
      <c r="B172" s="32">
        <v>45661</v>
      </c>
      <c r="C172" s="33" t="s">
        <v>253</v>
      </c>
      <c r="D172" s="33" t="s">
        <v>254</v>
      </c>
      <c r="E172" s="33" t="s">
        <v>245</v>
      </c>
      <c r="F172" s="33" t="s">
        <v>255</v>
      </c>
      <c r="G172" s="31">
        <v>6</v>
      </c>
      <c r="H172" s="31">
        <v>2499</v>
      </c>
      <c r="I172" s="31">
        <v>9996</v>
      </c>
      <c r="J172" s="31">
        <v>30</v>
      </c>
      <c r="K172" s="31">
        <v>24</v>
      </c>
      <c r="L172" s="33" t="s">
        <v>256</v>
      </c>
      <c r="N172" s="2"/>
      <c r="O172" s="2"/>
      <c r="P172" s="2"/>
      <c r="Q172" s="2"/>
      <c r="R172" s="2"/>
      <c r="S172" s="2"/>
      <c r="T172" s="2"/>
      <c r="U172" s="2"/>
      <c r="V172" s="2"/>
      <c r="W172" s="2"/>
      <c r="X172" s="2"/>
      <c r="Y172" s="2"/>
      <c r="Z172" s="2"/>
    </row>
    <row r="173" spans="1:26" ht="29.5" thickBot="1">
      <c r="A173" s="31">
        <v>1005</v>
      </c>
      <c r="B173" s="32">
        <v>45662</v>
      </c>
      <c r="C173" s="33" t="s">
        <v>257</v>
      </c>
      <c r="D173" s="33" t="s">
        <v>244</v>
      </c>
      <c r="E173" s="33" t="s">
        <v>258</v>
      </c>
      <c r="F173" s="33" t="s">
        <v>259</v>
      </c>
      <c r="G173" s="31">
        <v>8</v>
      </c>
      <c r="H173" s="31">
        <v>2999</v>
      </c>
      <c r="I173" s="31">
        <v>14995</v>
      </c>
      <c r="J173" s="31">
        <v>18</v>
      </c>
      <c r="K173" s="31">
        <v>31</v>
      </c>
      <c r="L173" s="33" t="s">
        <v>247</v>
      </c>
      <c r="N173" s="2"/>
      <c r="O173" s="2"/>
      <c r="P173" s="2"/>
      <c r="Q173" s="2"/>
      <c r="R173" s="2"/>
      <c r="S173" s="2"/>
      <c r="T173" s="2"/>
      <c r="U173" s="2"/>
      <c r="V173" s="2"/>
      <c r="W173" s="2"/>
      <c r="X173" s="2"/>
      <c r="Y173" s="2"/>
      <c r="Z173" s="2"/>
    </row>
    <row r="174" spans="1:26" ht="29.5" thickBot="1">
      <c r="A174" s="31">
        <v>1006</v>
      </c>
      <c r="B174" s="32">
        <v>45663</v>
      </c>
      <c r="C174" s="33" t="s">
        <v>260</v>
      </c>
      <c r="D174" s="33" t="s">
        <v>261</v>
      </c>
      <c r="E174" s="33" t="s">
        <v>250</v>
      </c>
      <c r="F174" s="33" t="s">
        <v>209</v>
      </c>
      <c r="G174" s="31">
        <v>3</v>
      </c>
      <c r="H174" s="31">
        <v>999</v>
      </c>
      <c r="I174" s="31">
        <v>4995</v>
      </c>
      <c r="J174" s="31">
        <v>15</v>
      </c>
      <c r="K174" s="31">
        <v>29</v>
      </c>
      <c r="L174" s="33" t="s">
        <v>262</v>
      </c>
      <c r="N174" s="2"/>
      <c r="O174" s="2"/>
      <c r="P174" s="2"/>
      <c r="Q174" s="2"/>
      <c r="R174" s="2"/>
      <c r="S174" s="2"/>
      <c r="T174" s="2"/>
      <c r="U174" s="2"/>
      <c r="V174" s="2"/>
      <c r="W174" s="2"/>
      <c r="X174" s="2"/>
      <c r="Y174" s="2"/>
      <c r="Z174" s="2"/>
    </row>
    <row r="175" spans="1:26" ht="29.5" thickBot="1">
      <c r="A175" s="31">
        <v>1007</v>
      </c>
      <c r="B175" s="32">
        <v>45664</v>
      </c>
      <c r="C175" s="33" t="s">
        <v>263</v>
      </c>
      <c r="D175" s="33" t="s">
        <v>249</v>
      </c>
      <c r="E175" s="33" t="s">
        <v>245</v>
      </c>
      <c r="F175" s="33" t="s">
        <v>264</v>
      </c>
      <c r="G175" s="31">
        <v>9</v>
      </c>
      <c r="H175" s="31">
        <v>1499</v>
      </c>
      <c r="I175" s="31">
        <v>2998</v>
      </c>
      <c r="J175" s="31">
        <v>20</v>
      </c>
      <c r="K175" s="31">
        <v>45</v>
      </c>
      <c r="L175" s="33" t="s">
        <v>252</v>
      </c>
      <c r="N175" s="2"/>
      <c r="O175" s="2"/>
      <c r="P175" s="2"/>
      <c r="Q175" s="2"/>
      <c r="R175" s="2"/>
      <c r="S175" s="2"/>
      <c r="T175" s="2"/>
      <c r="U175" s="2"/>
      <c r="V175" s="2"/>
      <c r="W175" s="2"/>
      <c r="X175" s="2"/>
      <c r="Y175" s="2"/>
      <c r="Z175" s="2"/>
    </row>
    <row r="176" spans="1:26" ht="29.5" thickBot="1">
      <c r="A176" s="31">
        <v>1008</v>
      </c>
      <c r="B176" s="32">
        <v>45665</v>
      </c>
      <c r="C176" s="33" t="s">
        <v>265</v>
      </c>
      <c r="D176" s="33" t="s">
        <v>254</v>
      </c>
      <c r="E176" s="33" t="s">
        <v>258</v>
      </c>
      <c r="F176" s="33" t="s">
        <v>266</v>
      </c>
      <c r="G176" s="31">
        <v>5</v>
      </c>
      <c r="H176" s="31">
        <v>1999</v>
      </c>
      <c r="I176" s="31">
        <v>5997</v>
      </c>
      <c r="J176" s="31">
        <v>25</v>
      </c>
      <c r="K176" s="31">
        <v>32</v>
      </c>
      <c r="L176" s="33" t="s">
        <v>256</v>
      </c>
      <c r="N176" s="2"/>
      <c r="O176" s="2"/>
      <c r="P176" s="2"/>
      <c r="Q176" s="2"/>
      <c r="R176" s="2"/>
      <c r="S176" s="2"/>
      <c r="T176" s="2"/>
      <c r="U176" s="2"/>
      <c r="V176" s="2"/>
      <c r="W176" s="2"/>
      <c r="X176" s="2"/>
      <c r="Y176" s="2"/>
      <c r="Z176" s="2"/>
    </row>
    <row r="177" spans="1:26" ht="29.5" thickBot="1">
      <c r="A177" s="31">
        <v>1009</v>
      </c>
      <c r="B177" s="32">
        <v>45666</v>
      </c>
      <c r="C177" s="33" t="s">
        <v>267</v>
      </c>
      <c r="D177" s="33" t="s">
        <v>244</v>
      </c>
      <c r="E177" s="33" t="s">
        <v>250</v>
      </c>
      <c r="F177" s="33" t="s">
        <v>268</v>
      </c>
      <c r="G177" s="31">
        <v>2</v>
      </c>
      <c r="H177" s="31">
        <v>2499</v>
      </c>
      <c r="I177" s="31">
        <v>19992</v>
      </c>
      <c r="J177" s="31">
        <v>30</v>
      </c>
      <c r="K177" s="31">
        <v>27</v>
      </c>
      <c r="L177" s="33" t="s">
        <v>247</v>
      </c>
      <c r="N177" s="2"/>
      <c r="O177" s="2"/>
      <c r="P177" s="2"/>
      <c r="Q177" s="2"/>
      <c r="R177" s="2"/>
      <c r="S177" s="2"/>
      <c r="T177" s="2"/>
      <c r="U177" s="2"/>
      <c r="V177" s="2"/>
      <c r="W177" s="2"/>
      <c r="X177" s="2"/>
      <c r="Y177" s="2"/>
      <c r="Z177" s="2"/>
    </row>
    <row r="178" spans="1:26" ht="29.5" thickBot="1">
      <c r="A178" s="31">
        <v>10010</v>
      </c>
      <c r="B178" s="32">
        <v>45667</v>
      </c>
      <c r="C178" s="33" t="s">
        <v>269</v>
      </c>
      <c r="D178" s="33" t="s">
        <v>261</v>
      </c>
      <c r="E178" s="33" t="s">
        <v>245</v>
      </c>
      <c r="F178" s="33" t="s">
        <v>270</v>
      </c>
      <c r="G178" s="31">
        <v>7</v>
      </c>
      <c r="H178" s="31">
        <v>2999</v>
      </c>
      <c r="I178" s="31">
        <v>14995</v>
      </c>
      <c r="J178" s="31">
        <v>18</v>
      </c>
      <c r="K178" s="31">
        <v>39</v>
      </c>
      <c r="L178" s="33" t="s">
        <v>262</v>
      </c>
      <c r="N178" s="2"/>
      <c r="O178" s="2"/>
      <c r="P178" s="2"/>
      <c r="Q178" s="2"/>
      <c r="R178" s="2"/>
      <c r="S178" s="2"/>
      <c r="T178" s="2"/>
      <c r="U178" s="2"/>
      <c r="V178" s="2"/>
      <c r="W178" s="2"/>
      <c r="X178" s="2"/>
      <c r="Y178" s="2"/>
      <c r="Z178" s="2"/>
    </row>
    <row r="179" spans="1:26" ht="29.5" thickBot="1">
      <c r="A179" s="31">
        <v>10011</v>
      </c>
      <c r="B179" s="32">
        <v>45668</v>
      </c>
      <c r="C179" s="33" t="s">
        <v>271</v>
      </c>
      <c r="D179" s="33" t="s">
        <v>249</v>
      </c>
      <c r="E179" s="33" t="s">
        <v>258</v>
      </c>
      <c r="F179" s="33" t="s">
        <v>272</v>
      </c>
      <c r="G179" s="31">
        <v>10</v>
      </c>
      <c r="H179" s="31">
        <v>999</v>
      </c>
      <c r="I179" s="31">
        <v>999</v>
      </c>
      <c r="J179" s="31">
        <v>15</v>
      </c>
      <c r="K179" s="31">
        <v>28</v>
      </c>
      <c r="L179" s="33" t="s">
        <v>252</v>
      </c>
      <c r="N179" s="2"/>
      <c r="O179" s="2"/>
      <c r="P179" s="2"/>
      <c r="Q179" s="2"/>
      <c r="R179" s="2"/>
      <c r="S179" s="2"/>
      <c r="T179" s="2"/>
      <c r="U179" s="2"/>
      <c r="V179" s="2"/>
      <c r="W179" s="2"/>
      <c r="X179" s="2"/>
      <c r="Y179" s="2"/>
      <c r="Z179" s="2"/>
    </row>
    <row r="180" spans="1:26" ht="29.5" thickBot="1">
      <c r="A180" s="31">
        <v>10012</v>
      </c>
      <c r="B180" s="32">
        <v>45669</v>
      </c>
      <c r="C180" s="33" t="s">
        <v>273</v>
      </c>
      <c r="D180" s="33" t="s">
        <v>254</v>
      </c>
      <c r="E180" s="33" t="s">
        <v>250</v>
      </c>
      <c r="F180" s="33" t="s">
        <v>223</v>
      </c>
      <c r="G180" s="31">
        <v>3</v>
      </c>
      <c r="H180" s="31">
        <v>1499</v>
      </c>
      <c r="I180" s="31">
        <v>11992</v>
      </c>
      <c r="J180" s="31">
        <v>20</v>
      </c>
      <c r="K180" s="31">
        <v>35</v>
      </c>
      <c r="L180" s="33" t="s">
        <v>256</v>
      </c>
      <c r="N180" s="2"/>
      <c r="O180" s="2"/>
      <c r="P180" s="2"/>
      <c r="Q180" s="2"/>
      <c r="R180" s="2"/>
      <c r="S180" s="2"/>
      <c r="T180" s="2"/>
      <c r="U180" s="2"/>
      <c r="V180" s="2"/>
      <c r="W180" s="2"/>
      <c r="X180" s="2"/>
      <c r="Y180" s="2"/>
      <c r="Z180" s="2"/>
    </row>
    <row r="181" spans="1:26" ht="29.5" thickBot="1">
      <c r="A181" s="31">
        <v>10013</v>
      </c>
      <c r="B181" s="32">
        <v>45670</v>
      </c>
      <c r="C181" s="33" t="s">
        <v>274</v>
      </c>
      <c r="D181" s="33" t="s">
        <v>244</v>
      </c>
      <c r="E181" s="33" t="s">
        <v>245</v>
      </c>
      <c r="F181" s="33" t="s">
        <v>275</v>
      </c>
      <c r="G181" s="31">
        <v>3</v>
      </c>
      <c r="H181" s="31">
        <v>1999</v>
      </c>
      <c r="I181" s="31">
        <v>5997</v>
      </c>
      <c r="J181" s="31">
        <v>25</v>
      </c>
      <c r="K181" s="31">
        <v>40</v>
      </c>
      <c r="L181" s="33" t="s">
        <v>247</v>
      </c>
      <c r="N181" s="2"/>
      <c r="O181" s="2"/>
      <c r="P181" s="2"/>
      <c r="Q181" s="2"/>
      <c r="R181" s="2"/>
      <c r="S181" s="2"/>
      <c r="T181" s="2"/>
      <c r="U181" s="2"/>
      <c r="V181" s="2"/>
      <c r="W181" s="2"/>
      <c r="X181" s="2"/>
      <c r="Y181" s="2"/>
      <c r="Z181" s="2"/>
    </row>
    <row r="182" spans="1:26" ht="29.5" thickBot="1">
      <c r="A182" s="31">
        <v>10014</v>
      </c>
      <c r="B182" s="32">
        <v>45671</v>
      </c>
      <c r="C182" s="33" t="s">
        <v>276</v>
      </c>
      <c r="D182" s="33" t="s">
        <v>261</v>
      </c>
      <c r="E182" s="33" t="s">
        <v>258</v>
      </c>
      <c r="F182" s="33" t="s">
        <v>277</v>
      </c>
      <c r="G182" s="31">
        <v>6</v>
      </c>
      <c r="H182" s="31">
        <v>2499</v>
      </c>
      <c r="I182" s="31">
        <v>9996</v>
      </c>
      <c r="J182" s="31">
        <v>30</v>
      </c>
      <c r="K182" s="31">
        <v>24</v>
      </c>
      <c r="L182" s="33" t="s">
        <v>262</v>
      </c>
      <c r="N182" s="2"/>
      <c r="O182" s="2"/>
      <c r="P182" s="2"/>
      <c r="Q182" s="2"/>
      <c r="R182" s="2"/>
      <c r="S182" s="2"/>
      <c r="T182" s="2"/>
      <c r="U182" s="2"/>
      <c r="V182" s="2"/>
      <c r="W182" s="2"/>
      <c r="X182" s="2"/>
      <c r="Y182" s="2"/>
      <c r="Z182" s="2"/>
    </row>
    <row r="183" spans="1:26" ht="29.5" thickBot="1">
      <c r="A183" s="31">
        <v>10015</v>
      </c>
      <c r="B183" s="32">
        <v>45672</v>
      </c>
      <c r="C183" s="33" t="s">
        <v>278</v>
      </c>
      <c r="D183" s="33" t="s">
        <v>249</v>
      </c>
      <c r="E183" s="33" t="s">
        <v>250</v>
      </c>
      <c r="F183" s="33" t="s">
        <v>279</v>
      </c>
      <c r="G183" s="31">
        <v>6</v>
      </c>
      <c r="H183" s="31">
        <v>2999</v>
      </c>
      <c r="I183" s="31">
        <v>14995</v>
      </c>
      <c r="J183" s="31">
        <v>18</v>
      </c>
      <c r="K183" s="31">
        <v>31</v>
      </c>
      <c r="L183" s="33" t="s">
        <v>252</v>
      </c>
      <c r="N183" s="2"/>
      <c r="O183" s="2"/>
      <c r="P183" s="2"/>
      <c r="Q183" s="2"/>
      <c r="R183" s="2"/>
      <c r="S183" s="2"/>
      <c r="T183" s="2"/>
      <c r="U183" s="2"/>
      <c r="V183" s="2"/>
      <c r="W183" s="2"/>
      <c r="X183" s="2"/>
      <c r="Y183" s="2"/>
      <c r="Z183" s="2"/>
    </row>
    <row r="184" spans="1:26" ht="29.5" thickBot="1">
      <c r="A184" s="31">
        <v>10016</v>
      </c>
      <c r="B184" s="32">
        <v>45673</v>
      </c>
      <c r="C184" s="33" t="s">
        <v>280</v>
      </c>
      <c r="D184" s="33" t="s">
        <v>254</v>
      </c>
      <c r="E184" s="33" t="s">
        <v>245</v>
      </c>
      <c r="F184" s="33" t="s">
        <v>281</v>
      </c>
      <c r="G184" s="31">
        <v>10</v>
      </c>
      <c r="H184" s="31">
        <v>999</v>
      </c>
      <c r="I184" s="31">
        <v>5994</v>
      </c>
      <c r="J184" s="31">
        <v>15</v>
      </c>
      <c r="K184" s="31">
        <v>29</v>
      </c>
      <c r="L184" s="33" t="s">
        <v>256</v>
      </c>
      <c r="N184" s="2"/>
      <c r="O184" s="2"/>
      <c r="P184" s="2"/>
      <c r="Q184" s="2"/>
      <c r="R184" s="2"/>
      <c r="S184" s="2"/>
      <c r="T184" s="2"/>
      <c r="U184" s="2"/>
      <c r="V184" s="2"/>
      <c r="W184" s="2"/>
      <c r="X184" s="2"/>
      <c r="Y184" s="2"/>
      <c r="Z184" s="2"/>
    </row>
    <row r="185" spans="1:26" ht="29.5" thickBot="1">
      <c r="A185" s="31">
        <v>10017</v>
      </c>
      <c r="B185" s="32">
        <v>45674</v>
      </c>
      <c r="C185" s="33" t="s">
        <v>282</v>
      </c>
      <c r="D185" s="33" t="s">
        <v>244</v>
      </c>
      <c r="E185" s="33" t="s">
        <v>258</v>
      </c>
      <c r="F185" s="33" t="s">
        <v>283</v>
      </c>
      <c r="G185" s="31">
        <v>4</v>
      </c>
      <c r="H185" s="31">
        <v>1499</v>
      </c>
      <c r="I185" s="31">
        <v>2998</v>
      </c>
      <c r="J185" s="31">
        <v>20</v>
      </c>
      <c r="K185" s="31">
        <v>45</v>
      </c>
      <c r="L185" s="33" t="s">
        <v>247</v>
      </c>
      <c r="N185" s="2"/>
      <c r="O185" s="2"/>
      <c r="P185" s="2"/>
      <c r="Q185" s="2"/>
      <c r="R185" s="2"/>
      <c r="S185" s="2"/>
      <c r="T185" s="2"/>
      <c r="U185" s="2"/>
      <c r="V185" s="2"/>
      <c r="W185" s="2"/>
      <c r="X185" s="2"/>
      <c r="Y185" s="2"/>
      <c r="Z185" s="2"/>
    </row>
    <row r="186" spans="1:26" ht="29.5" thickBot="1">
      <c r="A186" s="31">
        <v>10018</v>
      </c>
      <c r="B186" s="32">
        <v>45675</v>
      </c>
      <c r="C186" s="33" t="s">
        <v>284</v>
      </c>
      <c r="D186" s="33" t="s">
        <v>261</v>
      </c>
      <c r="E186" s="33" t="s">
        <v>250</v>
      </c>
      <c r="F186" s="33" t="s">
        <v>285</v>
      </c>
      <c r="G186" s="31">
        <v>5</v>
      </c>
      <c r="H186" s="31">
        <v>1999</v>
      </c>
      <c r="I186" s="31">
        <v>13993</v>
      </c>
      <c r="J186" s="31">
        <v>25</v>
      </c>
      <c r="K186" s="31">
        <v>32</v>
      </c>
      <c r="L186" s="33" t="s">
        <v>262</v>
      </c>
      <c r="N186" s="2"/>
      <c r="O186" s="2"/>
      <c r="P186" s="2"/>
      <c r="Q186" s="2"/>
      <c r="R186" s="2"/>
      <c r="S186" s="2"/>
      <c r="T186" s="2"/>
      <c r="U186" s="2"/>
      <c r="V186" s="2"/>
      <c r="W186" s="2"/>
      <c r="X186" s="2"/>
      <c r="Y186" s="2"/>
      <c r="Z186" s="2"/>
    </row>
    <row r="187" spans="1:26" ht="29.5" thickBot="1">
      <c r="A187" s="31">
        <v>10019</v>
      </c>
      <c r="B187" s="32">
        <v>45676</v>
      </c>
      <c r="C187" s="33" t="s">
        <v>286</v>
      </c>
      <c r="D187" s="33" t="s">
        <v>249</v>
      </c>
      <c r="E187" s="33" t="s">
        <v>245</v>
      </c>
      <c r="F187" s="33" t="s">
        <v>287</v>
      </c>
      <c r="G187" s="31">
        <v>7</v>
      </c>
      <c r="H187" s="31">
        <v>2499</v>
      </c>
      <c r="I187" s="31">
        <v>9996</v>
      </c>
      <c r="J187" s="31">
        <v>30</v>
      </c>
      <c r="K187" s="31">
        <v>27</v>
      </c>
      <c r="L187" s="33" t="s">
        <v>252</v>
      </c>
      <c r="N187" s="2"/>
      <c r="O187" s="2"/>
      <c r="P187" s="2"/>
      <c r="Q187" s="2"/>
      <c r="R187" s="2"/>
      <c r="S187" s="2"/>
      <c r="T187" s="2"/>
      <c r="U187" s="2"/>
      <c r="V187" s="2"/>
      <c r="W187" s="2"/>
      <c r="X187" s="2"/>
      <c r="Y187" s="2"/>
      <c r="Z187" s="2"/>
    </row>
    <row r="188" spans="1:26" ht="29.5" thickBot="1">
      <c r="A188" s="31">
        <v>10020</v>
      </c>
      <c r="B188" s="32">
        <v>45677</v>
      </c>
      <c r="C188" s="33" t="s">
        <v>288</v>
      </c>
      <c r="D188" s="33" t="s">
        <v>254</v>
      </c>
      <c r="E188" s="33" t="s">
        <v>258</v>
      </c>
      <c r="F188" s="33" t="s">
        <v>289</v>
      </c>
      <c r="G188" s="31">
        <v>6</v>
      </c>
      <c r="H188" s="31">
        <v>2999</v>
      </c>
      <c r="I188" s="31">
        <v>14995</v>
      </c>
      <c r="J188" s="31">
        <v>18</v>
      </c>
      <c r="K188" s="31">
        <v>39</v>
      </c>
      <c r="L188" s="33" t="s">
        <v>256</v>
      </c>
      <c r="N188" s="2"/>
      <c r="O188" s="2"/>
      <c r="P188" s="2"/>
      <c r="Q188" s="2"/>
      <c r="R188" s="2"/>
      <c r="S188" s="2"/>
      <c r="T188" s="2"/>
      <c r="U188" s="2"/>
      <c r="V188" s="2"/>
      <c r="W188" s="2"/>
      <c r="X188" s="2"/>
      <c r="Y188" s="2"/>
      <c r="Z188" s="2"/>
    </row>
    <row r="189" spans="1:26" ht="29.5" thickBot="1">
      <c r="A189" s="31">
        <v>10021</v>
      </c>
      <c r="B189" s="32">
        <v>45678</v>
      </c>
      <c r="C189" s="33" t="s">
        <v>290</v>
      </c>
      <c r="D189" s="33" t="s">
        <v>244</v>
      </c>
      <c r="E189" s="33" t="s">
        <v>250</v>
      </c>
      <c r="F189" s="33" t="s">
        <v>291</v>
      </c>
      <c r="G189" s="31">
        <v>7</v>
      </c>
      <c r="H189" s="31">
        <v>999</v>
      </c>
      <c r="I189" s="31">
        <v>999</v>
      </c>
      <c r="J189" s="31">
        <v>15</v>
      </c>
      <c r="K189" s="31">
        <v>28</v>
      </c>
      <c r="L189" s="33" t="s">
        <v>247</v>
      </c>
      <c r="N189" s="2"/>
      <c r="O189" s="2"/>
      <c r="P189" s="2"/>
      <c r="Q189" s="2"/>
      <c r="R189" s="2"/>
      <c r="S189" s="2"/>
      <c r="T189" s="2"/>
      <c r="U189" s="2"/>
      <c r="V189" s="2"/>
      <c r="W189" s="2"/>
      <c r="X189" s="2"/>
      <c r="Y189" s="2"/>
      <c r="Z189" s="2"/>
    </row>
    <row r="190" spans="1:26" ht="29.5" thickBot="1">
      <c r="A190" s="31">
        <v>10022</v>
      </c>
      <c r="B190" s="32">
        <v>45679</v>
      </c>
      <c r="C190" s="33" t="s">
        <v>292</v>
      </c>
      <c r="D190" s="33" t="s">
        <v>261</v>
      </c>
      <c r="E190" s="33" t="s">
        <v>245</v>
      </c>
      <c r="F190" s="33" t="s">
        <v>293</v>
      </c>
      <c r="G190" s="31">
        <v>3</v>
      </c>
      <c r="H190" s="31">
        <v>1499</v>
      </c>
      <c r="I190" s="31">
        <v>17988</v>
      </c>
      <c r="J190" s="31">
        <v>20</v>
      </c>
      <c r="K190" s="31">
        <v>35</v>
      </c>
      <c r="L190" s="33" t="s">
        <v>262</v>
      </c>
      <c r="N190" s="2"/>
      <c r="O190" s="2"/>
      <c r="P190" s="2"/>
      <c r="Q190" s="2"/>
      <c r="R190" s="2"/>
      <c r="S190" s="2"/>
      <c r="T190" s="2"/>
      <c r="U190" s="2"/>
      <c r="V190" s="2"/>
      <c r="W190" s="2"/>
      <c r="X190" s="2"/>
      <c r="Y190" s="2"/>
      <c r="Z190" s="2"/>
    </row>
    <row r="191" spans="1:26" ht="29.5" thickBot="1">
      <c r="A191" s="31">
        <v>10023</v>
      </c>
      <c r="B191" s="32">
        <v>45680</v>
      </c>
      <c r="C191" s="33" t="s">
        <v>294</v>
      </c>
      <c r="D191" s="33" t="s">
        <v>249</v>
      </c>
      <c r="E191" s="33" t="s">
        <v>258</v>
      </c>
      <c r="F191" s="33" t="s">
        <v>295</v>
      </c>
      <c r="G191" s="31">
        <v>4</v>
      </c>
      <c r="H191" s="31">
        <v>1999</v>
      </c>
      <c r="I191" s="31">
        <v>5997</v>
      </c>
      <c r="J191" s="31">
        <v>25</v>
      </c>
      <c r="K191" s="31">
        <v>40</v>
      </c>
      <c r="L191" s="33" t="s">
        <v>252</v>
      </c>
      <c r="N191" s="2"/>
      <c r="O191" s="2"/>
      <c r="P191" s="2"/>
      <c r="Q191" s="2"/>
      <c r="R191" s="2"/>
      <c r="S191" s="2"/>
      <c r="T191" s="2"/>
      <c r="U191" s="2"/>
      <c r="V191" s="2"/>
      <c r="W191" s="2"/>
      <c r="X191" s="2"/>
      <c r="Y191" s="2"/>
      <c r="Z191" s="2"/>
    </row>
    <row r="192" spans="1:26" ht="44" thickBot="1">
      <c r="A192" s="31">
        <v>10024</v>
      </c>
      <c r="B192" s="32">
        <v>45681</v>
      </c>
      <c r="C192" s="33" t="s">
        <v>296</v>
      </c>
      <c r="D192" s="33" t="s">
        <v>254</v>
      </c>
      <c r="E192" s="33" t="s">
        <v>250</v>
      </c>
      <c r="F192" s="33" t="s">
        <v>297</v>
      </c>
      <c r="G192" s="31">
        <v>10</v>
      </c>
      <c r="H192" s="31">
        <v>2499</v>
      </c>
      <c r="I192" s="31">
        <v>9996</v>
      </c>
      <c r="J192" s="31">
        <v>30</v>
      </c>
      <c r="K192" s="31">
        <v>24</v>
      </c>
      <c r="L192" s="33" t="s">
        <v>256</v>
      </c>
      <c r="N192" s="2"/>
      <c r="O192" s="2"/>
      <c r="P192" s="2"/>
      <c r="Q192" s="2"/>
      <c r="R192" s="2"/>
      <c r="S192" s="2"/>
      <c r="T192" s="2"/>
      <c r="U192" s="2"/>
      <c r="V192" s="2"/>
      <c r="W192" s="2"/>
      <c r="X192" s="2"/>
      <c r="Y192" s="2"/>
      <c r="Z192" s="2"/>
    </row>
    <row r="193" spans="1:26" ht="29.5" thickBot="1">
      <c r="A193" s="31">
        <v>10025</v>
      </c>
      <c r="B193" s="32">
        <v>45682</v>
      </c>
      <c r="C193" s="33" t="s">
        <v>298</v>
      </c>
      <c r="D193" s="33" t="s">
        <v>244</v>
      </c>
      <c r="E193" s="33" t="s">
        <v>245</v>
      </c>
      <c r="F193" s="33" t="s">
        <v>299</v>
      </c>
      <c r="G193" s="31">
        <v>8</v>
      </c>
      <c r="H193" s="31">
        <v>2999</v>
      </c>
      <c r="I193" s="31">
        <v>14995</v>
      </c>
      <c r="J193" s="31">
        <v>18</v>
      </c>
      <c r="K193" s="31">
        <v>31</v>
      </c>
      <c r="L193" s="33" t="s">
        <v>247</v>
      </c>
      <c r="N193" s="2"/>
      <c r="O193" s="2"/>
      <c r="P193" s="2"/>
      <c r="Q193" s="2"/>
      <c r="R193" s="2"/>
      <c r="S193" s="2"/>
      <c r="T193" s="2"/>
      <c r="U193" s="2"/>
      <c r="V193" s="2"/>
      <c r="W193" s="2"/>
      <c r="X193" s="2"/>
      <c r="Y193" s="2"/>
      <c r="Z193" s="2"/>
    </row>
    <row r="194" spans="1:26" ht="29.5" thickBot="1">
      <c r="A194" s="31">
        <v>10026</v>
      </c>
      <c r="B194" s="32">
        <v>45683</v>
      </c>
      <c r="C194" s="33" t="s">
        <v>300</v>
      </c>
      <c r="D194" s="33" t="s">
        <v>261</v>
      </c>
      <c r="E194" s="33" t="s">
        <v>258</v>
      </c>
      <c r="F194" s="33" t="s">
        <v>301</v>
      </c>
      <c r="G194" s="31">
        <v>4</v>
      </c>
      <c r="H194" s="31">
        <v>999</v>
      </c>
      <c r="I194" s="31">
        <v>2997</v>
      </c>
      <c r="J194" s="31">
        <v>15</v>
      </c>
      <c r="K194" s="31">
        <v>29</v>
      </c>
      <c r="L194" s="33" t="s">
        <v>262</v>
      </c>
      <c r="N194" s="2"/>
      <c r="O194" s="2"/>
      <c r="P194" s="2"/>
      <c r="Q194" s="2"/>
      <c r="R194" s="2"/>
      <c r="S194" s="2"/>
      <c r="T194" s="2"/>
      <c r="U194" s="2"/>
      <c r="V194" s="2"/>
      <c r="W194" s="2"/>
      <c r="X194" s="2"/>
      <c r="Y194" s="2"/>
      <c r="Z194" s="2"/>
    </row>
    <row r="195" spans="1:26" ht="29.5" thickBot="1">
      <c r="A195" s="31">
        <v>10027</v>
      </c>
      <c r="B195" s="32">
        <v>45684</v>
      </c>
      <c r="C195" s="33" t="s">
        <v>302</v>
      </c>
      <c r="D195" s="33" t="s">
        <v>249</v>
      </c>
      <c r="E195" s="33" t="s">
        <v>250</v>
      </c>
      <c r="F195" s="33" t="s">
        <v>303</v>
      </c>
      <c r="G195" s="31">
        <v>3</v>
      </c>
      <c r="H195" s="31">
        <v>1499</v>
      </c>
      <c r="I195" s="31">
        <v>2998</v>
      </c>
      <c r="J195" s="31">
        <v>20</v>
      </c>
      <c r="K195" s="31">
        <v>45</v>
      </c>
      <c r="L195" s="33" t="s">
        <v>252</v>
      </c>
      <c r="N195" s="2"/>
      <c r="O195" s="2"/>
      <c r="P195" s="2"/>
      <c r="Q195" s="2"/>
      <c r="R195" s="2"/>
      <c r="S195" s="2"/>
      <c r="T195" s="2"/>
      <c r="U195" s="2"/>
      <c r="V195" s="2"/>
      <c r="W195" s="2"/>
      <c r="X195" s="2"/>
      <c r="Y195" s="2"/>
      <c r="Z195" s="2"/>
    </row>
    <row r="196" spans="1:26" ht="29.5" thickBot="1">
      <c r="A196" s="31">
        <v>10028</v>
      </c>
      <c r="B196" s="32">
        <v>45685</v>
      </c>
      <c r="C196" s="33" t="s">
        <v>304</v>
      </c>
      <c r="D196" s="33" t="s">
        <v>254</v>
      </c>
      <c r="E196" s="33" t="s">
        <v>245</v>
      </c>
      <c r="F196" s="33" t="s">
        <v>305</v>
      </c>
      <c r="G196" s="31">
        <v>6</v>
      </c>
      <c r="H196" s="31">
        <v>1999</v>
      </c>
      <c r="I196" s="31">
        <v>5997</v>
      </c>
      <c r="J196" s="31">
        <v>25</v>
      </c>
      <c r="K196" s="31">
        <v>32</v>
      </c>
      <c r="L196" s="33" t="s">
        <v>256</v>
      </c>
      <c r="N196" s="2"/>
      <c r="O196" s="2"/>
      <c r="P196" s="2"/>
      <c r="Q196" s="2"/>
      <c r="R196" s="2"/>
      <c r="S196" s="2"/>
      <c r="T196" s="2"/>
      <c r="U196" s="2"/>
      <c r="V196" s="2"/>
      <c r="W196" s="2"/>
      <c r="X196" s="2"/>
      <c r="Y196" s="2"/>
      <c r="Z196" s="2"/>
    </row>
    <row r="197" spans="1:26" ht="29.5" thickBot="1">
      <c r="A197" s="31">
        <v>10029</v>
      </c>
      <c r="B197" s="32">
        <v>45686</v>
      </c>
      <c r="C197" s="33" t="s">
        <v>306</v>
      </c>
      <c r="D197" s="33" t="s">
        <v>244</v>
      </c>
      <c r="E197" s="33" t="s">
        <v>258</v>
      </c>
      <c r="F197" s="33" t="s">
        <v>307</v>
      </c>
      <c r="G197" s="31">
        <v>7</v>
      </c>
      <c r="H197" s="31">
        <v>2499</v>
      </c>
      <c r="I197" s="31">
        <v>9996</v>
      </c>
      <c r="J197" s="31">
        <v>30</v>
      </c>
      <c r="K197" s="31">
        <v>27</v>
      </c>
      <c r="L197" s="33" t="s">
        <v>247</v>
      </c>
      <c r="N197" s="2"/>
      <c r="O197" s="2"/>
      <c r="P197" s="2"/>
      <c r="Q197" s="2"/>
      <c r="R197" s="2"/>
      <c r="S197" s="2"/>
      <c r="T197" s="2"/>
      <c r="U197" s="2"/>
      <c r="V197" s="2"/>
      <c r="W197" s="2"/>
      <c r="X197" s="2"/>
      <c r="Y197" s="2"/>
      <c r="Z197" s="2"/>
    </row>
    <row r="198" spans="1:26" ht="29.5" thickBot="1">
      <c r="A198" s="31">
        <v>10030</v>
      </c>
      <c r="B198" s="32">
        <v>45687</v>
      </c>
      <c r="C198" s="33" t="s">
        <v>308</v>
      </c>
      <c r="D198" s="33" t="s">
        <v>261</v>
      </c>
      <c r="E198" s="33" t="s">
        <v>250</v>
      </c>
      <c r="F198" s="33" t="s">
        <v>309</v>
      </c>
      <c r="G198" s="31">
        <v>6</v>
      </c>
      <c r="H198" s="31">
        <v>2999</v>
      </c>
      <c r="I198" s="31">
        <v>26991</v>
      </c>
      <c r="J198" s="31">
        <v>18</v>
      </c>
      <c r="K198" s="31">
        <v>39</v>
      </c>
      <c r="L198" s="33" t="s">
        <v>262</v>
      </c>
      <c r="N198" s="2"/>
      <c r="O198" s="2"/>
      <c r="P198" s="2"/>
      <c r="Q198" s="2"/>
      <c r="R198" s="2"/>
      <c r="S198" s="2"/>
      <c r="T198" s="2"/>
      <c r="U198" s="2"/>
      <c r="V198" s="2"/>
      <c r="W198" s="2"/>
      <c r="X198" s="2"/>
      <c r="Y198" s="2"/>
      <c r="Z198" s="2"/>
    </row>
    <row r="199" spans="1:26" ht="29.5" thickBot="1">
      <c r="A199" s="31">
        <v>10031</v>
      </c>
      <c r="B199" s="32">
        <v>45688</v>
      </c>
      <c r="C199" s="33" t="s">
        <v>310</v>
      </c>
      <c r="D199" s="33" t="s">
        <v>249</v>
      </c>
      <c r="E199" s="33" t="s">
        <v>245</v>
      </c>
      <c r="F199" s="33" t="s">
        <v>311</v>
      </c>
      <c r="G199" s="31">
        <v>3</v>
      </c>
      <c r="H199" s="31">
        <v>999</v>
      </c>
      <c r="I199" s="31">
        <v>999</v>
      </c>
      <c r="J199" s="31">
        <v>15</v>
      </c>
      <c r="K199" s="31">
        <v>28</v>
      </c>
      <c r="L199" s="33" t="s">
        <v>252</v>
      </c>
      <c r="N199" s="2"/>
      <c r="O199" s="2"/>
      <c r="P199" s="2"/>
      <c r="Q199" s="2"/>
      <c r="R199" s="2"/>
      <c r="S199" s="2"/>
      <c r="T199" s="2"/>
      <c r="U199" s="2"/>
      <c r="V199" s="2"/>
      <c r="W199" s="2"/>
      <c r="X199" s="2"/>
      <c r="Y199" s="2"/>
      <c r="Z199" s="2"/>
    </row>
    <row r="200" spans="1:26" ht="29.5" thickBot="1">
      <c r="A200" s="31">
        <v>10032</v>
      </c>
      <c r="B200" s="32">
        <v>45689</v>
      </c>
      <c r="C200" s="33" t="s">
        <v>312</v>
      </c>
      <c r="D200" s="33" t="s">
        <v>254</v>
      </c>
      <c r="E200" s="33" t="s">
        <v>258</v>
      </c>
      <c r="F200" s="33" t="s">
        <v>313</v>
      </c>
      <c r="G200" s="31">
        <v>3</v>
      </c>
      <c r="H200" s="31">
        <v>1499</v>
      </c>
      <c r="I200" s="31">
        <v>2998</v>
      </c>
      <c r="J200" s="31">
        <v>20</v>
      </c>
      <c r="K200" s="31">
        <v>35</v>
      </c>
      <c r="L200" s="33" t="s">
        <v>256</v>
      </c>
      <c r="N200" s="2"/>
      <c r="O200" s="2"/>
      <c r="P200" s="2"/>
      <c r="Q200" s="2"/>
      <c r="R200" s="2"/>
      <c r="S200" s="2"/>
      <c r="T200" s="2"/>
      <c r="U200" s="2"/>
      <c r="V200" s="2"/>
      <c r="W200" s="2"/>
      <c r="X200" s="2"/>
      <c r="Y200" s="2"/>
      <c r="Z200" s="2"/>
    </row>
    <row r="201" spans="1:26" ht="29.5" thickBot="1">
      <c r="A201" s="31">
        <v>10033</v>
      </c>
      <c r="B201" s="32">
        <v>45690</v>
      </c>
      <c r="C201" s="33" t="s">
        <v>314</v>
      </c>
      <c r="D201" s="33" t="s">
        <v>244</v>
      </c>
      <c r="E201" s="33" t="s">
        <v>250</v>
      </c>
      <c r="F201" s="33" t="s">
        <v>315</v>
      </c>
      <c r="G201" s="31">
        <v>7</v>
      </c>
      <c r="H201" s="31">
        <v>1999</v>
      </c>
      <c r="I201" s="31">
        <v>5997</v>
      </c>
      <c r="J201" s="31">
        <v>25</v>
      </c>
      <c r="K201" s="31">
        <v>40</v>
      </c>
      <c r="L201" s="33" t="s">
        <v>247</v>
      </c>
      <c r="N201" s="2"/>
      <c r="O201" s="2"/>
      <c r="P201" s="2"/>
      <c r="Q201" s="2"/>
      <c r="R201" s="2"/>
      <c r="S201" s="2"/>
      <c r="T201" s="2"/>
      <c r="U201" s="2"/>
      <c r="V201" s="2"/>
      <c r="W201" s="2"/>
      <c r="X201" s="2"/>
      <c r="Y201" s="2"/>
      <c r="Z201" s="2"/>
    </row>
    <row r="202" spans="1:26" ht="29.5" thickBot="1">
      <c r="A202" s="31">
        <v>10034</v>
      </c>
      <c r="B202" s="32">
        <v>45691</v>
      </c>
      <c r="C202" s="33" t="s">
        <v>316</v>
      </c>
      <c r="D202" s="33" t="s">
        <v>261</v>
      </c>
      <c r="E202" s="33" t="s">
        <v>245</v>
      </c>
      <c r="F202" s="33" t="s">
        <v>317</v>
      </c>
      <c r="G202" s="31">
        <v>10</v>
      </c>
      <c r="H202" s="31">
        <v>2499</v>
      </c>
      <c r="I202" s="31">
        <v>9996</v>
      </c>
      <c r="J202" s="31">
        <v>30</v>
      </c>
      <c r="K202" s="31">
        <v>24</v>
      </c>
      <c r="L202" s="33" t="s">
        <v>262</v>
      </c>
      <c r="N202" s="2"/>
      <c r="O202" s="2"/>
      <c r="P202" s="2"/>
      <c r="Q202" s="2"/>
      <c r="R202" s="2"/>
      <c r="S202" s="2"/>
      <c r="T202" s="2"/>
      <c r="U202" s="2"/>
      <c r="V202" s="2"/>
      <c r="W202" s="2"/>
      <c r="X202" s="2"/>
      <c r="Y202" s="2"/>
      <c r="Z202" s="2"/>
    </row>
    <row r="203" spans="1:26" ht="29.5" thickBot="1">
      <c r="A203" s="31">
        <v>10035</v>
      </c>
      <c r="B203" s="32">
        <v>45692</v>
      </c>
      <c r="C203" s="33" t="s">
        <v>318</v>
      </c>
      <c r="D203" s="33" t="s">
        <v>249</v>
      </c>
      <c r="E203" s="33" t="s">
        <v>258</v>
      </c>
      <c r="F203" s="33" t="s">
        <v>319</v>
      </c>
      <c r="G203" s="31">
        <v>2</v>
      </c>
      <c r="H203" s="31">
        <v>2999</v>
      </c>
      <c r="I203" s="31">
        <v>14995</v>
      </c>
      <c r="J203" s="31">
        <v>18</v>
      </c>
      <c r="K203" s="31">
        <v>31</v>
      </c>
      <c r="L203" s="33" t="s">
        <v>252</v>
      </c>
      <c r="N203" s="2"/>
      <c r="O203" s="2"/>
      <c r="P203" s="2"/>
      <c r="Q203" s="2"/>
      <c r="R203" s="2"/>
      <c r="S203" s="2"/>
      <c r="T203" s="2"/>
      <c r="U203" s="2"/>
      <c r="V203" s="2"/>
      <c r="W203" s="2"/>
      <c r="X203" s="2"/>
      <c r="Y203" s="2"/>
      <c r="Z203" s="2"/>
    </row>
    <row r="204" spans="1:26" ht="29.5" thickBot="1">
      <c r="A204" s="31">
        <v>10036</v>
      </c>
      <c r="B204" s="32">
        <v>45693</v>
      </c>
      <c r="C204" s="33" t="s">
        <v>320</v>
      </c>
      <c r="D204" s="33" t="s">
        <v>254</v>
      </c>
      <c r="E204" s="33" t="s">
        <v>250</v>
      </c>
      <c r="F204" s="33" t="s">
        <v>321</v>
      </c>
      <c r="G204" s="31">
        <v>6</v>
      </c>
      <c r="H204" s="31">
        <v>999</v>
      </c>
      <c r="I204" s="31">
        <v>999</v>
      </c>
      <c r="J204" s="31">
        <v>15</v>
      </c>
      <c r="K204" s="31">
        <v>29</v>
      </c>
      <c r="L204" s="33" t="s">
        <v>256</v>
      </c>
      <c r="N204" s="2"/>
      <c r="O204" s="2"/>
      <c r="P204" s="2"/>
      <c r="Q204" s="2"/>
      <c r="R204" s="2"/>
      <c r="S204" s="2"/>
      <c r="T204" s="2"/>
      <c r="U204" s="2"/>
      <c r="V204" s="2"/>
      <c r="W204" s="2"/>
      <c r="X204" s="2"/>
      <c r="Y204" s="2"/>
      <c r="Z204" s="2"/>
    </row>
    <row r="205" spans="1:26" ht="29.5" thickBot="1">
      <c r="A205" s="31">
        <v>10037</v>
      </c>
      <c r="B205" s="32">
        <v>45694</v>
      </c>
      <c r="C205" s="33" t="s">
        <v>322</v>
      </c>
      <c r="D205" s="33" t="s">
        <v>244</v>
      </c>
      <c r="E205" s="33" t="s">
        <v>245</v>
      </c>
      <c r="F205" s="33" t="s">
        <v>323</v>
      </c>
      <c r="G205" s="31">
        <v>7</v>
      </c>
      <c r="H205" s="31">
        <v>1499</v>
      </c>
      <c r="I205" s="31">
        <v>2998</v>
      </c>
      <c r="J205" s="31">
        <v>20</v>
      </c>
      <c r="K205" s="31">
        <v>45</v>
      </c>
      <c r="L205" s="33" t="s">
        <v>247</v>
      </c>
      <c r="N205" s="2"/>
      <c r="O205" s="2"/>
      <c r="P205" s="2"/>
      <c r="Q205" s="2"/>
      <c r="R205" s="2"/>
      <c r="S205" s="2"/>
      <c r="T205" s="2"/>
      <c r="U205" s="2"/>
      <c r="V205" s="2"/>
      <c r="W205" s="2"/>
      <c r="X205" s="2"/>
      <c r="Y205" s="2"/>
      <c r="Z205" s="2"/>
    </row>
    <row r="206" spans="1:26" ht="29.5" thickBot="1">
      <c r="A206" s="31">
        <v>10038</v>
      </c>
      <c r="B206" s="32">
        <v>45695</v>
      </c>
      <c r="C206" s="33" t="s">
        <v>324</v>
      </c>
      <c r="D206" s="33" t="s">
        <v>261</v>
      </c>
      <c r="E206" s="33" t="s">
        <v>258</v>
      </c>
      <c r="F206" s="33" t="s">
        <v>325</v>
      </c>
      <c r="G206" s="31">
        <v>10</v>
      </c>
      <c r="H206" s="31">
        <v>1999</v>
      </c>
      <c r="I206" s="31">
        <v>3998</v>
      </c>
      <c r="J206" s="31">
        <v>25</v>
      </c>
      <c r="K206" s="31">
        <v>32</v>
      </c>
      <c r="L206" s="33" t="s">
        <v>262</v>
      </c>
      <c r="N206" s="2"/>
      <c r="O206" s="2"/>
      <c r="P206" s="2"/>
      <c r="Q206" s="2"/>
      <c r="R206" s="2"/>
      <c r="S206" s="2"/>
      <c r="T206" s="2"/>
      <c r="U206" s="2"/>
      <c r="V206" s="2"/>
      <c r="W206" s="2"/>
      <c r="X206" s="2"/>
      <c r="Y206" s="2"/>
      <c r="Z206" s="2"/>
    </row>
    <row r="207" spans="1:26" ht="29.5" thickBot="1">
      <c r="A207" s="31">
        <v>10039</v>
      </c>
      <c r="B207" s="32">
        <v>45696</v>
      </c>
      <c r="C207" s="33" t="s">
        <v>326</v>
      </c>
      <c r="D207" s="33" t="s">
        <v>249</v>
      </c>
      <c r="E207" s="33" t="s">
        <v>250</v>
      </c>
      <c r="F207" s="33" t="s">
        <v>327</v>
      </c>
      <c r="G207" s="31">
        <v>7</v>
      </c>
      <c r="H207" s="31">
        <v>2499</v>
      </c>
      <c r="I207" s="31">
        <v>9996</v>
      </c>
      <c r="J207" s="31">
        <v>30</v>
      </c>
      <c r="K207" s="31">
        <v>27</v>
      </c>
      <c r="L207" s="33" t="s">
        <v>252</v>
      </c>
      <c r="N207" s="2"/>
      <c r="O207" s="2"/>
      <c r="P207" s="2"/>
      <c r="Q207" s="2"/>
      <c r="R207" s="2"/>
      <c r="S207" s="2"/>
      <c r="T207" s="2"/>
      <c r="U207" s="2"/>
      <c r="V207" s="2"/>
      <c r="W207" s="2"/>
      <c r="X207" s="2"/>
      <c r="Y207" s="2"/>
      <c r="Z207" s="2"/>
    </row>
    <row r="208" spans="1:26" ht="29.5" thickBot="1">
      <c r="A208" s="31">
        <v>10040</v>
      </c>
      <c r="B208" s="32">
        <v>45697</v>
      </c>
      <c r="C208" s="33" t="s">
        <v>328</v>
      </c>
      <c r="D208" s="33" t="s">
        <v>254</v>
      </c>
      <c r="E208" s="33" t="s">
        <v>245</v>
      </c>
      <c r="F208" s="33" t="s">
        <v>329</v>
      </c>
      <c r="G208" s="31">
        <v>7</v>
      </c>
      <c r="H208" s="31">
        <v>2999</v>
      </c>
      <c r="I208" s="31">
        <v>8997</v>
      </c>
      <c r="J208" s="31">
        <v>18</v>
      </c>
      <c r="K208" s="31">
        <v>39</v>
      </c>
      <c r="L208" s="33" t="s">
        <v>256</v>
      </c>
      <c r="N208" s="2"/>
      <c r="O208" s="2"/>
      <c r="P208" s="2"/>
      <c r="Q208" s="2"/>
      <c r="R208" s="2"/>
      <c r="S208" s="2"/>
      <c r="T208" s="2"/>
      <c r="U208" s="2"/>
      <c r="V208" s="2"/>
      <c r="W208" s="2"/>
      <c r="X208" s="2"/>
      <c r="Y208" s="2"/>
      <c r="Z208" s="2"/>
    </row>
    <row r="209" spans="1:26" ht="29.5" thickBot="1">
      <c r="A209" s="31">
        <v>10041</v>
      </c>
      <c r="B209" s="32">
        <v>45698</v>
      </c>
      <c r="C209" s="33" t="s">
        <v>330</v>
      </c>
      <c r="D209" s="33" t="s">
        <v>244</v>
      </c>
      <c r="E209" s="33" t="s">
        <v>258</v>
      </c>
      <c r="F209" s="33" t="s">
        <v>331</v>
      </c>
      <c r="G209" s="31">
        <v>5</v>
      </c>
      <c r="H209" s="31">
        <v>999</v>
      </c>
      <c r="I209" s="31">
        <v>999</v>
      </c>
      <c r="J209" s="31">
        <v>15</v>
      </c>
      <c r="K209" s="31">
        <v>28</v>
      </c>
      <c r="L209" s="33" t="s">
        <v>247</v>
      </c>
      <c r="N209" s="2"/>
      <c r="O209" s="2"/>
      <c r="P209" s="2"/>
      <c r="Q209" s="2"/>
      <c r="R209" s="2"/>
      <c r="S209" s="2"/>
      <c r="T209" s="2"/>
      <c r="U209" s="2"/>
      <c r="V209" s="2"/>
      <c r="W209" s="2"/>
      <c r="X209" s="2"/>
      <c r="Y209" s="2"/>
      <c r="Z209" s="2"/>
    </row>
    <row r="210" spans="1:26" ht="29.5" thickBot="1">
      <c r="A210" s="31">
        <v>10042</v>
      </c>
      <c r="B210" s="32">
        <v>45699</v>
      </c>
      <c r="C210" s="33" t="s">
        <v>332</v>
      </c>
      <c r="D210" s="33" t="s">
        <v>261</v>
      </c>
      <c r="E210" s="33" t="s">
        <v>250</v>
      </c>
      <c r="F210" s="33" t="s">
        <v>333</v>
      </c>
      <c r="G210" s="31">
        <v>8</v>
      </c>
      <c r="H210" s="31">
        <v>1499</v>
      </c>
      <c r="I210" s="31">
        <v>2998</v>
      </c>
      <c r="J210" s="31">
        <v>20</v>
      </c>
      <c r="K210" s="31">
        <v>35</v>
      </c>
      <c r="L210" s="33" t="s">
        <v>262</v>
      </c>
      <c r="N210" s="2"/>
      <c r="O210" s="2"/>
      <c r="P210" s="2"/>
      <c r="Q210" s="2"/>
      <c r="R210" s="2"/>
      <c r="S210" s="2"/>
      <c r="T210" s="2"/>
      <c r="U210" s="2"/>
      <c r="V210" s="2"/>
      <c r="W210" s="2"/>
      <c r="X210" s="2"/>
      <c r="Y210" s="2"/>
      <c r="Z210" s="2"/>
    </row>
    <row r="211" spans="1:26" ht="29.5" thickBot="1">
      <c r="A211" s="31">
        <v>10043</v>
      </c>
      <c r="B211" s="32">
        <v>45700</v>
      </c>
      <c r="C211" s="33" t="s">
        <v>334</v>
      </c>
      <c r="D211" s="33" t="s">
        <v>249</v>
      </c>
      <c r="E211" s="33" t="s">
        <v>245</v>
      </c>
      <c r="F211" s="33" t="s">
        <v>335</v>
      </c>
      <c r="G211" s="31">
        <v>1</v>
      </c>
      <c r="H211" s="31">
        <v>1999</v>
      </c>
      <c r="I211" s="31">
        <v>5997</v>
      </c>
      <c r="J211" s="31">
        <v>25</v>
      </c>
      <c r="K211" s="31">
        <v>40</v>
      </c>
      <c r="L211" s="33" t="s">
        <v>252</v>
      </c>
      <c r="N211" s="2"/>
      <c r="O211" s="2"/>
      <c r="P211" s="2"/>
      <c r="Q211" s="2"/>
      <c r="R211" s="2"/>
      <c r="S211" s="2"/>
      <c r="T211" s="2"/>
      <c r="U211" s="2"/>
      <c r="V211" s="2"/>
      <c r="W211" s="2"/>
      <c r="X211" s="2"/>
      <c r="Y211" s="2"/>
      <c r="Z211" s="2"/>
    </row>
    <row r="212" spans="1:26" ht="29.5" thickBot="1">
      <c r="A212" s="31">
        <v>10044</v>
      </c>
      <c r="B212" s="32">
        <v>45701</v>
      </c>
      <c r="C212" s="33" t="s">
        <v>336</v>
      </c>
      <c r="D212" s="33" t="s">
        <v>254</v>
      </c>
      <c r="E212" s="33" t="s">
        <v>258</v>
      </c>
      <c r="F212" s="33" t="s">
        <v>217</v>
      </c>
      <c r="G212" s="31">
        <v>6</v>
      </c>
      <c r="H212" s="31">
        <v>2499</v>
      </c>
      <c r="I212" s="31">
        <v>9996</v>
      </c>
      <c r="J212" s="31">
        <v>30</v>
      </c>
      <c r="K212" s="31">
        <v>24</v>
      </c>
      <c r="L212" s="33" t="s">
        <v>256</v>
      </c>
      <c r="N212" s="2"/>
      <c r="O212" s="2"/>
      <c r="P212" s="2"/>
      <c r="Q212" s="2"/>
      <c r="R212" s="2"/>
      <c r="S212" s="2"/>
      <c r="T212" s="2"/>
      <c r="U212" s="2"/>
      <c r="V212" s="2"/>
      <c r="W212" s="2"/>
      <c r="X212" s="2"/>
      <c r="Y212" s="2"/>
      <c r="Z212" s="2"/>
    </row>
    <row r="213" spans="1:26" ht="29.5" thickBot="1">
      <c r="A213" s="31">
        <v>10045</v>
      </c>
      <c r="B213" s="32">
        <v>45702</v>
      </c>
      <c r="C213" s="33" t="s">
        <v>337</v>
      </c>
      <c r="D213" s="33" t="s">
        <v>244</v>
      </c>
      <c r="E213" s="33" t="s">
        <v>250</v>
      </c>
      <c r="F213" s="33" t="s">
        <v>338</v>
      </c>
      <c r="G213" s="31">
        <v>6</v>
      </c>
      <c r="H213" s="31">
        <v>2999</v>
      </c>
      <c r="I213" s="31">
        <v>14995</v>
      </c>
      <c r="J213" s="31">
        <v>18</v>
      </c>
      <c r="K213" s="31">
        <v>31</v>
      </c>
      <c r="L213" s="33" t="s">
        <v>247</v>
      </c>
      <c r="N213" s="2"/>
      <c r="O213" s="2"/>
      <c r="P213" s="2"/>
      <c r="Q213" s="2"/>
      <c r="R213" s="2"/>
      <c r="S213" s="2"/>
      <c r="T213" s="2"/>
      <c r="U213" s="2"/>
      <c r="V213" s="2"/>
      <c r="W213" s="2"/>
      <c r="X213" s="2"/>
      <c r="Y213" s="2"/>
      <c r="Z213" s="2"/>
    </row>
    <row r="214" spans="1:26" ht="29.5" thickBot="1">
      <c r="A214" s="31">
        <v>10046</v>
      </c>
      <c r="B214" s="32">
        <v>45703</v>
      </c>
      <c r="C214" s="33" t="s">
        <v>339</v>
      </c>
      <c r="D214" s="33" t="s">
        <v>261</v>
      </c>
      <c r="E214" s="33" t="s">
        <v>245</v>
      </c>
      <c r="F214" s="33" t="s">
        <v>340</v>
      </c>
      <c r="G214" s="31">
        <v>8</v>
      </c>
      <c r="H214" s="31">
        <v>999</v>
      </c>
      <c r="I214" s="31">
        <v>1998</v>
      </c>
      <c r="J214" s="31">
        <v>15</v>
      </c>
      <c r="K214" s="31">
        <v>29</v>
      </c>
      <c r="L214" s="33" t="s">
        <v>262</v>
      </c>
      <c r="N214" s="2"/>
      <c r="O214" s="2"/>
      <c r="P214" s="2"/>
      <c r="Q214" s="2"/>
      <c r="R214" s="2"/>
      <c r="S214" s="2"/>
      <c r="T214" s="2"/>
      <c r="U214" s="2"/>
      <c r="V214" s="2"/>
      <c r="W214" s="2"/>
      <c r="X214" s="2"/>
      <c r="Y214" s="2"/>
      <c r="Z214" s="2"/>
    </row>
    <row r="215" spans="1:26" ht="29.5" thickBot="1">
      <c r="A215" s="31">
        <v>10047</v>
      </c>
      <c r="B215" s="32">
        <v>45704</v>
      </c>
      <c r="C215" s="33" t="s">
        <v>341</v>
      </c>
      <c r="D215" s="33" t="s">
        <v>249</v>
      </c>
      <c r="E215" s="33" t="s">
        <v>258</v>
      </c>
      <c r="F215" s="33" t="s">
        <v>342</v>
      </c>
      <c r="G215" s="31">
        <v>4</v>
      </c>
      <c r="H215" s="31">
        <v>1499</v>
      </c>
      <c r="I215" s="31">
        <v>2998</v>
      </c>
      <c r="J215" s="31">
        <v>20</v>
      </c>
      <c r="K215" s="31">
        <v>45</v>
      </c>
      <c r="L215" s="33" t="s">
        <v>252</v>
      </c>
      <c r="N215" s="2"/>
      <c r="O215" s="2"/>
      <c r="P215" s="2"/>
      <c r="Q215" s="2"/>
      <c r="R215" s="2"/>
      <c r="S215" s="2"/>
      <c r="T215" s="2"/>
      <c r="U215" s="2"/>
      <c r="V215" s="2"/>
      <c r="W215" s="2"/>
      <c r="X215" s="2"/>
      <c r="Y215" s="2"/>
      <c r="Z215" s="2"/>
    </row>
    <row r="216" spans="1:26" ht="29.5" thickBot="1">
      <c r="A216" s="31">
        <v>10048</v>
      </c>
      <c r="B216" s="32">
        <v>45705</v>
      </c>
      <c r="C216" s="33" t="s">
        <v>343</v>
      </c>
      <c r="D216" s="33" t="s">
        <v>254</v>
      </c>
      <c r="E216" s="33" t="s">
        <v>250</v>
      </c>
      <c r="F216" s="33" t="s">
        <v>344</v>
      </c>
      <c r="G216" s="31">
        <v>6</v>
      </c>
      <c r="H216" s="31">
        <v>1999</v>
      </c>
      <c r="I216" s="31">
        <v>5997</v>
      </c>
      <c r="J216" s="31">
        <v>25</v>
      </c>
      <c r="K216" s="31">
        <v>32</v>
      </c>
      <c r="L216" s="33" t="s">
        <v>256</v>
      </c>
      <c r="N216" s="2"/>
      <c r="O216" s="2"/>
      <c r="P216" s="2"/>
      <c r="Q216" s="2"/>
      <c r="R216" s="2"/>
      <c r="S216" s="2"/>
      <c r="T216" s="2"/>
      <c r="U216" s="2"/>
      <c r="V216" s="2"/>
      <c r="W216" s="2"/>
      <c r="X216" s="2"/>
      <c r="Y216" s="2"/>
      <c r="Z216" s="2"/>
    </row>
    <row r="217" spans="1:26" ht="29.5" thickBot="1">
      <c r="A217" s="31">
        <v>10049</v>
      </c>
      <c r="B217" s="32">
        <v>45706</v>
      </c>
      <c r="C217" s="33" t="s">
        <v>345</v>
      </c>
      <c r="D217" s="33" t="s">
        <v>244</v>
      </c>
      <c r="E217" s="33" t="s">
        <v>245</v>
      </c>
      <c r="F217" s="33" t="s">
        <v>346</v>
      </c>
      <c r="G217" s="31">
        <v>9</v>
      </c>
      <c r="H217" s="31">
        <v>2499</v>
      </c>
      <c r="I217" s="31">
        <v>22491</v>
      </c>
      <c r="J217" s="31">
        <v>30</v>
      </c>
      <c r="K217" s="31">
        <v>27</v>
      </c>
      <c r="L217" s="33" t="s">
        <v>247</v>
      </c>
      <c r="N217" s="2"/>
      <c r="O217" s="2"/>
      <c r="P217" s="2"/>
      <c r="Q217" s="2"/>
      <c r="R217" s="2"/>
      <c r="S217" s="2"/>
      <c r="T217" s="2"/>
      <c r="U217" s="2"/>
      <c r="V217" s="2"/>
      <c r="W217" s="2"/>
      <c r="X217" s="2"/>
      <c r="Y217" s="2"/>
      <c r="Z217" s="2"/>
    </row>
    <row r="218" spans="1:26" ht="29.5" thickBot="1">
      <c r="A218" s="31">
        <v>10050</v>
      </c>
      <c r="B218" s="32">
        <v>45707</v>
      </c>
      <c r="C218" s="33" t="s">
        <v>347</v>
      </c>
      <c r="D218" s="33" t="s">
        <v>261</v>
      </c>
      <c r="E218" s="33" t="s">
        <v>258</v>
      </c>
      <c r="F218" s="33" t="s">
        <v>348</v>
      </c>
      <c r="G218" s="31">
        <v>8</v>
      </c>
      <c r="H218" s="31">
        <v>2999</v>
      </c>
      <c r="I218" s="31">
        <v>14995</v>
      </c>
      <c r="J218" s="31">
        <v>18</v>
      </c>
      <c r="K218" s="31">
        <v>39</v>
      </c>
      <c r="L218" s="33" t="s">
        <v>262</v>
      </c>
      <c r="N218" s="2"/>
      <c r="O218" s="2"/>
      <c r="P218" s="2"/>
      <c r="Q218" s="2"/>
      <c r="R218" s="2"/>
      <c r="S218" s="2"/>
      <c r="T218" s="2"/>
      <c r="U218" s="2"/>
      <c r="V218" s="2"/>
      <c r="W218" s="2"/>
      <c r="X218" s="2"/>
      <c r="Y218" s="2"/>
      <c r="Z218" s="2"/>
    </row>
    <row r="219" spans="1:26" ht="15" thickBot="1">
      <c r="A219" s="2"/>
      <c r="B219" s="2"/>
      <c r="C219" s="2"/>
      <c r="D219" s="2"/>
      <c r="E219" s="2"/>
      <c r="F219" s="2"/>
      <c r="G219" s="2"/>
      <c r="H219" s="2"/>
      <c r="I219" s="2"/>
      <c r="J219" s="2"/>
      <c r="K219" s="2"/>
      <c r="N219" s="2"/>
      <c r="O219" s="2"/>
      <c r="P219" s="2"/>
      <c r="Q219" s="2"/>
      <c r="R219" s="2"/>
      <c r="S219" s="2"/>
      <c r="T219" s="2"/>
      <c r="U219" s="2"/>
      <c r="V219" s="2"/>
      <c r="W219" s="2"/>
      <c r="X219" s="2"/>
      <c r="Y219" s="2"/>
      <c r="Z219" s="2"/>
    </row>
    <row r="220" spans="1:26" ht="50" customHeight="1" thickBot="1">
      <c r="A220" s="34" t="s">
        <v>350</v>
      </c>
      <c r="B220" s="26"/>
      <c r="C220" s="26"/>
      <c r="D220" s="26"/>
      <c r="E220" s="26"/>
      <c r="F220" s="26"/>
      <c r="G220" s="26"/>
      <c r="H220" s="26"/>
      <c r="I220" s="26"/>
      <c r="J220" s="26"/>
      <c r="K220" s="26"/>
      <c r="L220" s="26"/>
      <c r="N220" s="2"/>
      <c r="O220" s="2"/>
      <c r="P220" s="2"/>
      <c r="Q220" s="2"/>
      <c r="R220" s="2"/>
      <c r="S220" s="2"/>
      <c r="T220" s="2"/>
      <c r="U220" s="2"/>
      <c r="V220" s="2"/>
      <c r="W220" s="2"/>
      <c r="X220" s="2"/>
      <c r="Y220" s="2"/>
      <c r="Z220" s="2"/>
    </row>
    <row r="221" spans="1:26" ht="15" thickBot="1">
      <c r="A221" t="s">
        <v>351</v>
      </c>
      <c r="B221" s="2"/>
      <c r="C221" s="2"/>
      <c r="D221" s="2"/>
      <c r="E221" s="2"/>
      <c r="F221" s="2"/>
      <c r="G221" s="2"/>
      <c r="H221" s="2"/>
      <c r="I221" s="2"/>
      <c r="J221" s="2"/>
      <c r="K221" s="2"/>
      <c r="N221" s="2"/>
      <c r="O221" s="2"/>
      <c r="P221" s="2"/>
      <c r="Q221" s="2"/>
      <c r="R221" s="2"/>
      <c r="S221" s="2"/>
      <c r="T221" s="2"/>
      <c r="U221" s="2"/>
      <c r="V221" s="2"/>
      <c r="W221" s="2"/>
      <c r="X221" s="2"/>
      <c r="Y221" s="2"/>
      <c r="Z221" s="2"/>
    </row>
    <row r="222" spans="1:26" ht="15" thickBot="1">
      <c r="A222" t="s">
        <v>352</v>
      </c>
      <c r="B222" s="2"/>
      <c r="C222" s="2"/>
      <c r="D222" s="2"/>
      <c r="E222" s="2"/>
      <c r="F222" s="2"/>
      <c r="G222" s="2"/>
      <c r="H222" s="2"/>
      <c r="I222" s="2"/>
      <c r="J222" s="2"/>
      <c r="K222" s="2"/>
      <c r="N222" s="2"/>
      <c r="O222" s="2"/>
      <c r="P222" s="2"/>
      <c r="Q222" s="2"/>
      <c r="R222" s="2"/>
      <c r="S222" s="2"/>
      <c r="T222" s="2"/>
      <c r="U222" s="2"/>
      <c r="V222" s="2"/>
      <c r="W222" s="2"/>
      <c r="X222" s="2"/>
      <c r="Y222" s="2"/>
      <c r="Z222" s="2"/>
    </row>
    <row r="223" spans="1:26" ht="15" thickBot="1">
      <c r="A223" t="s">
        <v>353</v>
      </c>
      <c r="B223" s="2"/>
      <c r="C223" s="2"/>
      <c r="D223" s="2"/>
      <c r="E223" s="2"/>
      <c r="F223" s="2"/>
      <c r="G223" s="2"/>
      <c r="H223" s="2"/>
      <c r="I223" s="2"/>
      <c r="J223" s="2"/>
      <c r="K223" s="2"/>
      <c r="N223" s="2"/>
      <c r="O223" s="2"/>
      <c r="P223" s="2"/>
      <c r="Q223" s="2"/>
      <c r="R223" s="2"/>
      <c r="S223" s="2"/>
      <c r="T223" s="2"/>
      <c r="U223" s="2"/>
      <c r="V223" s="2"/>
      <c r="W223" s="2"/>
      <c r="X223" s="2"/>
      <c r="Y223" s="2"/>
      <c r="Z223" s="2"/>
    </row>
    <row r="224" spans="1:26" ht="15" thickBot="1">
      <c r="A224" t="s">
        <v>354</v>
      </c>
      <c r="B224" s="2"/>
      <c r="C224" s="2"/>
      <c r="D224" s="2"/>
      <c r="E224" s="2"/>
      <c r="F224" s="2"/>
      <c r="G224" s="2"/>
      <c r="H224" s="2"/>
      <c r="I224" s="2"/>
      <c r="J224" s="2"/>
      <c r="K224" s="2"/>
      <c r="N224" s="2"/>
      <c r="O224" s="2"/>
      <c r="P224" s="2"/>
      <c r="Q224" s="2"/>
      <c r="R224" s="2"/>
      <c r="S224" s="2"/>
      <c r="T224" s="2"/>
      <c r="U224" s="2"/>
      <c r="V224" s="2"/>
      <c r="W224" s="2"/>
      <c r="X224" s="2"/>
      <c r="Y224" s="2"/>
      <c r="Z224" s="2"/>
    </row>
    <row r="225" spans="1:26" ht="15" thickBot="1">
      <c r="A225" t="s">
        <v>355</v>
      </c>
      <c r="B225" s="2"/>
      <c r="C225" s="2"/>
      <c r="D225" s="2"/>
      <c r="E225" s="2"/>
      <c r="F225" s="2"/>
      <c r="G225" s="2"/>
      <c r="H225" s="2"/>
      <c r="I225" s="2"/>
      <c r="J225" s="2"/>
      <c r="K225" s="2"/>
      <c r="N225" s="2"/>
      <c r="O225" s="2"/>
      <c r="P225" s="2"/>
      <c r="Q225" s="2"/>
      <c r="R225" s="2"/>
      <c r="S225" s="2"/>
      <c r="T225" s="2"/>
      <c r="U225" s="2"/>
      <c r="V225" s="2"/>
      <c r="W225" s="2"/>
      <c r="X225" s="2"/>
      <c r="Y225" s="2"/>
      <c r="Z225" s="2"/>
    </row>
    <row r="226" spans="1:26" ht="15" thickBot="1">
      <c r="A226" t="s">
        <v>356</v>
      </c>
      <c r="B226" s="2"/>
      <c r="C226" s="2"/>
      <c r="D226" s="2"/>
      <c r="E226" s="2"/>
      <c r="F226" s="2"/>
      <c r="G226" s="2"/>
      <c r="H226" s="2"/>
      <c r="I226" s="2"/>
      <c r="J226" s="2"/>
      <c r="K226" s="2"/>
      <c r="N226" s="2"/>
      <c r="O226" s="2"/>
      <c r="P226" s="2"/>
      <c r="Q226" s="2"/>
      <c r="R226" s="2"/>
      <c r="S226" s="2"/>
      <c r="T226" s="2"/>
      <c r="U226" s="2"/>
      <c r="V226" s="2"/>
      <c r="W226" s="2"/>
      <c r="X226" s="2"/>
      <c r="Y226" s="2"/>
      <c r="Z226" s="2"/>
    </row>
    <row r="227" spans="1:26" ht="15" thickBot="1">
      <c r="A227" t="s">
        <v>357</v>
      </c>
      <c r="B227" s="2"/>
      <c r="C227" s="2"/>
      <c r="D227" s="2"/>
      <c r="E227" s="2"/>
      <c r="F227" s="2"/>
      <c r="G227" s="2"/>
      <c r="H227" s="2"/>
      <c r="I227" s="2"/>
      <c r="J227" s="2"/>
      <c r="K227" s="2"/>
      <c r="N227" s="2"/>
      <c r="O227" s="2"/>
      <c r="P227" s="2"/>
      <c r="Q227" s="2"/>
      <c r="R227" s="2"/>
      <c r="S227" s="2"/>
      <c r="T227" s="2"/>
      <c r="U227" s="2"/>
      <c r="V227" s="2"/>
      <c r="W227" s="2"/>
      <c r="X227" s="2"/>
      <c r="Y227" s="2"/>
      <c r="Z227" s="2"/>
    </row>
    <row r="228" spans="1:26" ht="15" thickBot="1">
      <c r="A228" t="s">
        <v>358</v>
      </c>
      <c r="B228" s="2"/>
      <c r="C228" s="2"/>
      <c r="D228" s="2"/>
      <c r="E228" s="2"/>
      <c r="F228" s="2"/>
      <c r="G228" s="2"/>
      <c r="H228" s="2"/>
      <c r="I228" s="2"/>
      <c r="J228" s="2"/>
      <c r="K228" s="2"/>
      <c r="N228" s="2"/>
      <c r="O228" s="2"/>
      <c r="P228" s="2"/>
      <c r="Q228" s="2"/>
      <c r="R228" s="2"/>
      <c r="S228" s="2"/>
      <c r="T228" s="2"/>
      <c r="U228" s="2"/>
      <c r="V228" s="2"/>
      <c r="W228" s="2"/>
      <c r="X228" s="2"/>
      <c r="Y228" s="2"/>
      <c r="Z228" s="2"/>
    </row>
    <row r="229" spans="1:26" ht="15" thickBot="1">
      <c r="A229" s="2"/>
      <c r="B229" s="2"/>
      <c r="C229" s="2"/>
      <c r="D229" s="2"/>
      <c r="E229" s="2"/>
      <c r="F229" s="2"/>
      <c r="G229" s="2"/>
      <c r="H229" s="2"/>
      <c r="I229" s="2"/>
      <c r="J229" s="2"/>
      <c r="K229" s="2"/>
      <c r="N229" s="2"/>
      <c r="O229" s="2"/>
      <c r="P229" s="2"/>
      <c r="Q229" s="2"/>
      <c r="R229" s="2"/>
      <c r="S229" s="2"/>
      <c r="T229" s="2"/>
      <c r="U229" s="2"/>
      <c r="V229" s="2"/>
      <c r="W229" s="2"/>
      <c r="X229" s="2"/>
      <c r="Y229" s="2"/>
      <c r="Z229" s="2"/>
    </row>
    <row r="230" spans="1:26" ht="27" thickBot="1">
      <c r="A230" s="36" t="s">
        <v>359</v>
      </c>
      <c r="B230" s="36" t="s">
        <v>235</v>
      </c>
      <c r="C230" s="36" t="s">
        <v>360</v>
      </c>
      <c r="D230" s="36" t="s">
        <v>361</v>
      </c>
      <c r="E230" s="36" t="s">
        <v>362</v>
      </c>
      <c r="F230" s="36" t="s">
        <v>363</v>
      </c>
      <c r="G230" s="36" t="s">
        <v>364</v>
      </c>
      <c r="H230" s="36" t="s">
        <v>365</v>
      </c>
      <c r="I230" s="36" t="s">
        <v>366</v>
      </c>
      <c r="J230" s="36" t="s">
        <v>367</v>
      </c>
      <c r="K230" s="36" t="s">
        <v>368</v>
      </c>
      <c r="L230" s="36" t="s">
        <v>369</v>
      </c>
      <c r="M230" s="36" t="s">
        <v>370</v>
      </c>
      <c r="N230" s="41" t="s">
        <v>498</v>
      </c>
      <c r="O230" s="42" t="s">
        <v>367</v>
      </c>
      <c r="Q230" s="2"/>
      <c r="R230" s="2"/>
      <c r="S230" s="2"/>
      <c r="T230" s="2"/>
      <c r="U230" s="2"/>
      <c r="V230" s="2"/>
      <c r="W230" s="2"/>
      <c r="X230" s="2"/>
      <c r="Y230" s="2"/>
      <c r="Z230" s="2"/>
    </row>
    <row r="231" spans="1:26" ht="15" thickBot="1">
      <c r="A231" s="37" t="s">
        <v>371</v>
      </c>
      <c r="B231" s="37" t="s">
        <v>372</v>
      </c>
      <c r="C231" s="37" t="s">
        <v>373</v>
      </c>
      <c r="D231" s="37" t="s">
        <v>374</v>
      </c>
      <c r="E231" s="37">
        <v>9515759149</v>
      </c>
      <c r="F231" s="37" t="s">
        <v>375</v>
      </c>
      <c r="G231" s="37" t="s">
        <v>376</v>
      </c>
      <c r="H231" s="37">
        <v>2439.81</v>
      </c>
      <c r="I231" s="37">
        <v>5</v>
      </c>
      <c r="J231" s="37">
        <v>3559.55</v>
      </c>
      <c r="K231" s="37" t="s">
        <v>247</v>
      </c>
      <c r="L231" s="37">
        <v>12199.05</v>
      </c>
      <c r="M231" s="38" t="s">
        <v>377</v>
      </c>
      <c r="N231" s="2" t="str" cm="1">
        <f t="array" ref="N231">_xlfn.IFS(L231&gt;15000, "High", L231&gt;5000, "Medium", TRUE, "Low")</f>
        <v>Medium</v>
      </c>
      <c r="O231" s="43">
        <f>(J231/(H231*I231))</f>
        <v>0.29178911472614671</v>
      </c>
      <c r="Q231" s="2"/>
      <c r="R231" s="2"/>
      <c r="S231" s="2"/>
      <c r="T231" s="2"/>
      <c r="U231" s="2"/>
      <c r="V231" s="2"/>
      <c r="W231" s="2"/>
      <c r="X231" s="2"/>
      <c r="Y231" s="2"/>
      <c r="Z231" s="2"/>
    </row>
    <row r="232" spans="1:26" ht="15" thickBot="1">
      <c r="A232" s="37" t="s">
        <v>378</v>
      </c>
      <c r="B232" s="37" t="s">
        <v>372</v>
      </c>
      <c r="C232" s="37" t="s">
        <v>373</v>
      </c>
      <c r="D232" s="37" t="s">
        <v>374</v>
      </c>
      <c r="E232" s="37">
        <v>9720381947</v>
      </c>
      <c r="F232" s="37" t="s">
        <v>379</v>
      </c>
      <c r="G232" s="37" t="s">
        <v>380</v>
      </c>
      <c r="H232" s="37">
        <v>1621.43</v>
      </c>
      <c r="I232" s="37">
        <v>13</v>
      </c>
      <c r="J232" s="37">
        <v>4029.57</v>
      </c>
      <c r="K232" s="37" t="s">
        <v>381</v>
      </c>
      <c r="L232" s="37">
        <v>21078.59</v>
      </c>
      <c r="M232" s="38" t="s">
        <v>377</v>
      </c>
      <c r="N232" s="2" t="str" cm="1">
        <f t="array" ref="N232">_xlfn.IFS(L232&gt;15000, "High", L232&gt;5000, "Medium", TRUE, "Low")</f>
        <v>High</v>
      </c>
      <c r="O232" s="43">
        <f>(J232/(H232*I232))</f>
        <v>0.19116885901760983</v>
      </c>
      <c r="Q232" s="2"/>
      <c r="R232" s="2"/>
      <c r="S232" s="2"/>
      <c r="T232" s="2"/>
      <c r="U232" s="2"/>
      <c r="V232" s="2"/>
      <c r="W232" s="2"/>
      <c r="X232" s="2"/>
      <c r="Y232" s="2"/>
      <c r="Z232" s="2"/>
    </row>
    <row r="233" spans="1:26" ht="15" thickBot="1">
      <c r="A233" s="37" t="s">
        <v>382</v>
      </c>
      <c r="B233" s="37" t="s">
        <v>383</v>
      </c>
      <c r="C233" s="37" t="s">
        <v>373</v>
      </c>
      <c r="D233" s="37" t="s">
        <v>384</v>
      </c>
      <c r="E233" s="37">
        <v>9483465530</v>
      </c>
      <c r="F233" s="37" t="s">
        <v>375</v>
      </c>
      <c r="G233" s="37" t="s">
        <v>385</v>
      </c>
      <c r="H233" s="37">
        <v>1363.73</v>
      </c>
      <c r="I233" s="37">
        <v>1</v>
      </c>
      <c r="J233" s="37">
        <v>362.2</v>
      </c>
      <c r="K233" s="37" t="s">
        <v>381</v>
      </c>
      <c r="L233" s="37">
        <v>1363.73</v>
      </c>
      <c r="M233" s="38" t="s">
        <v>386</v>
      </c>
      <c r="N233" s="2" t="str" cm="1">
        <f t="array" ref="N233">_xlfn.IFS(L233&gt;15000, "High", L233&gt;5000, "Medium", TRUE, "Low")</f>
        <v>Low</v>
      </c>
      <c r="O233" s="43">
        <f>(J233/(H233*I233))</f>
        <v>0.2655950958034215</v>
      </c>
      <c r="Q233" s="2"/>
      <c r="R233" s="2"/>
      <c r="S233" s="2"/>
      <c r="T233" s="2"/>
      <c r="U233" s="2"/>
      <c r="V233" s="2"/>
      <c r="W233" s="2"/>
      <c r="X233" s="2"/>
      <c r="Y233" s="2"/>
      <c r="Z233" s="2"/>
    </row>
    <row r="234" spans="1:26" ht="15" thickBot="1">
      <c r="A234" s="37" t="s">
        <v>387</v>
      </c>
      <c r="B234" s="37" t="s">
        <v>383</v>
      </c>
      <c r="C234" s="37" t="s">
        <v>373</v>
      </c>
      <c r="D234" s="37" t="s">
        <v>384</v>
      </c>
      <c r="E234" s="37">
        <v>9350165589</v>
      </c>
      <c r="F234" s="37" t="s">
        <v>379</v>
      </c>
      <c r="G234" s="37" t="s">
        <v>388</v>
      </c>
      <c r="H234" s="37">
        <v>1172.93</v>
      </c>
      <c r="I234" s="37">
        <v>5</v>
      </c>
      <c r="J234" s="37">
        <v>1542.65</v>
      </c>
      <c r="K234" s="37" t="s">
        <v>389</v>
      </c>
      <c r="L234" s="37">
        <v>5864.65</v>
      </c>
      <c r="M234" s="38" t="s">
        <v>390</v>
      </c>
      <c r="N234" s="2" t="str" cm="1">
        <f t="array" ref="N234">_xlfn.IFS(L234&gt;15000, "High", L234&gt;5000, "Medium", TRUE, "Low")</f>
        <v>Medium</v>
      </c>
      <c r="O234" s="43">
        <f>(J234/(H234*I234))</f>
        <v>0.26304212527601817</v>
      </c>
      <c r="Q234" s="2"/>
      <c r="R234" s="2"/>
      <c r="S234" s="2"/>
      <c r="T234" s="2"/>
      <c r="U234" s="2"/>
      <c r="V234" s="2"/>
      <c r="W234" s="2"/>
      <c r="X234" s="2"/>
      <c r="Y234" s="2"/>
      <c r="Z234" s="2"/>
    </row>
    <row r="235" spans="1:26" ht="15" thickBot="1">
      <c r="A235" s="37" t="s">
        <v>391</v>
      </c>
      <c r="B235" s="37" t="s">
        <v>383</v>
      </c>
      <c r="C235" s="37" t="s">
        <v>373</v>
      </c>
      <c r="D235" s="37" t="s">
        <v>374</v>
      </c>
      <c r="E235" s="37">
        <v>9621991901</v>
      </c>
      <c r="F235" s="37" t="s">
        <v>375</v>
      </c>
      <c r="G235" s="37" t="s">
        <v>259</v>
      </c>
      <c r="H235" s="37">
        <v>2457.56</v>
      </c>
      <c r="I235" s="37">
        <v>13</v>
      </c>
      <c r="J235" s="39">
        <v>6972.71</v>
      </c>
      <c r="K235" s="37" t="s">
        <v>247</v>
      </c>
      <c r="L235" s="37">
        <v>31948.28</v>
      </c>
      <c r="M235" s="38" t="s">
        <v>377</v>
      </c>
      <c r="N235" s="2" t="str" cm="1">
        <f t="array" ref="N235">_xlfn.IFS(L235&gt;15000, "High", L235&gt;5000, "Medium", TRUE, "Low")</f>
        <v>High</v>
      </c>
      <c r="O235" s="43">
        <f>(J235/(H235*I235))</f>
        <v>0.21824993395575601</v>
      </c>
      <c r="Q235" s="21" t="s">
        <v>228</v>
      </c>
      <c r="R235" t="s">
        <v>499</v>
      </c>
      <c r="S235" t="s">
        <v>500</v>
      </c>
      <c r="T235" s="2"/>
      <c r="U235" s="2"/>
      <c r="V235" s="2"/>
      <c r="W235" s="2"/>
      <c r="X235" s="2"/>
      <c r="Y235" s="2"/>
      <c r="Z235" s="2"/>
    </row>
    <row r="236" spans="1:26" ht="15" thickBot="1">
      <c r="A236" s="37" t="s">
        <v>392</v>
      </c>
      <c r="B236" s="37" t="s">
        <v>383</v>
      </c>
      <c r="C236" s="37" t="s">
        <v>373</v>
      </c>
      <c r="D236" s="37" t="s">
        <v>384</v>
      </c>
      <c r="E236" s="37">
        <v>9734105442</v>
      </c>
      <c r="F236" s="37" t="s">
        <v>375</v>
      </c>
      <c r="G236" s="37" t="s">
        <v>266</v>
      </c>
      <c r="H236" s="37">
        <v>2661.44</v>
      </c>
      <c r="I236" s="37">
        <v>7</v>
      </c>
      <c r="J236" s="37">
        <v>2581.67</v>
      </c>
      <c r="K236" s="37" t="s">
        <v>381</v>
      </c>
      <c r="L236" s="37">
        <v>18630.080000000002</v>
      </c>
      <c r="M236" s="38" t="s">
        <v>377</v>
      </c>
      <c r="N236" s="2" t="str" cm="1">
        <f t="array" ref="N236">_xlfn.IFS(L236&gt;15000, "High", L236&gt;5000, "Medium", TRUE, "Low")</f>
        <v>High</v>
      </c>
      <c r="O236" s="43">
        <f>(J236/(H236*I236))</f>
        <v>0.13857535770109414</v>
      </c>
      <c r="Q236" s="22" t="s">
        <v>394</v>
      </c>
      <c r="R236" s="44">
        <v>304204.76999999996</v>
      </c>
      <c r="S236" s="44">
        <v>65576.37000000001</v>
      </c>
      <c r="T236" s="2"/>
      <c r="U236" s="2"/>
      <c r="V236" s="2"/>
      <c r="W236" s="2"/>
      <c r="X236" s="2"/>
      <c r="Y236" s="2"/>
      <c r="Z236" s="2"/>
    </row>
    <row r="237" spans="1:26" ht="15" thickBot="1">
      <c r="A237" s="37" t="s">
        <v>393</v>
      </c>
      <c r="B237" s="37" t="s">
        <v>394</v>
      </c>
      <c r="C237" s="37" t="s">
        <v>373</v>
      </c>
      <c r="D237" s="37" t="s">
        <v>395</v>
      </c>
      <c r="E237" s="37">
        <v>9117390999</v>
      </c>
      <c r="F237" s="37" t="s">
        <v>375</v>
      </c>
      <c r="G237" s="37" t="s">
        <v>385</v>
      </c>
      <c r="H237" s="37">
        <v>1400.82</v>
      </c>
      <c r="I237" s="37">
        <v>6</v>
      </c>
      <c r="J237" s="37">
        <v>994.44</v>
      </c>
      <c r="K237" s="37" t="s">
        <v>262</v>
      </c>
      <c r="L237" s="37">
        <v>8404.92</v>
      </c>
      <c r="M237" s="38" t="s">
        <v>390</v>
      </c>
      <c r="N237" s="2" t="str" cm="1">
        <f t="array" ref="N237">_xlfn.IFS(L237&gt;15000, "High", L237&gt;5000, "Medium", TRUE, "Low")</f>
        <v>Medium</v>
      </c>
      <c r="O237" s="43">
        <f>(J237/(H237*I237))</f>
        <v>0.11831641467140676</v>
      </c>
      <c r="Q237" s="22" t="s">
        <v>406</v>
      </c>
      <c r="R237" s="44">
        <v>290473.09000000003</v>
      </c>
      <c r="S237" s="44">
        <v>53496.26</v>
      </c>
      <c r="T237" s="2"/>
      <c r="U237" s="2"/>
      <c r="V237" s="2"/>
      <c r="W237" s="2"/>
      <c r="X237" s="2"/>
      <c r="Y237" s="2"/>
      <c r="Z237" s="2"/>
    </row>
    <row r="238" spans="1:26" ht="15" thickBot="1">
      <c r="A238" s="37" t="s">
        <v>396</v>
      </c>
      <c r="B238" s="37" t="s">
        <v>372</v>
      </c>
      <c r="C238" s="37" t="s">
        <v>373</v>
      </c>
      <c r="D238" s="37" t="s">
        <v>374</v>
      </c>
      <c r="E238" s="37">
        <v>9513032833</v>
      </c>
      <c r="F238" s="37" t="s">
        <v>379</v>
      </c>
      <c r="G238" s="37" t="s">
        <v>397</v>
      </c>
      <c r="H238" s="37">
        <v>416.18</v>
      </c>
      <c r="I238" s="37">
        <v>3</v>
      </c>
      <c r="J238" s="37">
        <v>327.88</v>
      </c>
      <c r="K238" s="37" t="s">
        <v>381</v>
      </c>
      <c r="L238" s="37">
        <v>1248.54</v>
      </c>
      <c r="M238" s="38" t="s">
        <v>386</v>
      </c>
      <c r="N238" s="2" t="str" cm="1">
        <f t="array" ref="N238">_xlfn.IFS(L238&gt;15000, "High", L238&gt;5000, "Medium", TRUE, "Low")</f>
        <v>Low</v>
      </c>
      <c r="O238" s="43">
        <f>(J238/(H238*I238))</f>
        <v>0.26261072933185964</v>
      </c>
      <c r="Q238" s="22" t="s">
        <v>383</v>
      </c>
      <c r="R238" s="44">
        <v>278867.12999999995</v>
      </c>
      <c r="S238" s="44">
        <v>52548.770000000004</v>
      </c>
      <c r="T238" s="2"/>
      <c r="U238" s="2"/>
      <c r="V238" s="2"/>
      <c r="W238" s="2"/>
      <c r="X238" s="2"/>
      <c r="Y238" s="2"/>
      <c r="Z238" s="2"/>
    </row>
    <row r="239" spans="1:26" ht="15" thickBot="1">
      <c r="A239" s="37" t="s">
        <v>398</v>
      </c>
      <c r="B239" s="37" t="s">
        <v>383</v>
      </c>
      <c r="C239" s="37" t="s">
        <v>373</v>
      </c>
      <c r="D239" s="37" t="s">
        <v>399</v>
      </c>
      <c r="E239" s="40">
        <v>95543976868</v>
      </c>
      <c r="F239" s="37" t="s">
        <v>379</v>
      </c>
      <c r="G239" s="37" t="s">
        <v>397</v>
      </c>
      <c r="H239" s="37">
        <v>1290.47</v>
      </c>
      <c r="I239" s="37">
        <v>6</v>
      </c>
      <c r="J239" s="37">
        <v>1045.43</v>
      </c>
      <c r="K239" s="37" t="s">
        <v>381</v>
      </c>
      <c r="L239" s="37">
        <v>7742.82</v>
      </c>
      <c r="M239" s="38" t="s">
        <v>390</v>
      </c>
      <c r="N239" s="2" t="str" cm="1">
        <f t="array" ref="N239">_xlfn.IFS(L239&gt;15000, "High", L239&gt;5000, "Medium", TRUE, "Low")</f>
        <v>Medium</v>
      </c>
      <c r="O239" s="43">
        <f>(J239/(H239*I239))</f>
        <v>0.1350192823803214</v>
      </c>
      <c r="Q239" s="22" t="s">
        <v>372</v>
      </c>
      <c r="R239" s="44">
        <v>263623.37000000005</v>
      </c>
      <c r="S239" s="44">
        <v>53733.26999999999</v>
      </c>
      <c r="T239" s="2"/>
      <c r="U239" s="2"/>
      <c r="V239" s="2"/>
      <c r="W239" s="2"/>
      <c r="X239" s="2"/>
      <c r="Y239" s="2"/>
      <c r="Z239" s="2"/>
    </row>
    <row r="240" spans="1:26" ht="15" thickBot="1">
      <c r="A240" s="37" t="s">
        <v>400</v>
      </c>
      <c r="B240" s="37" t="s">
        <v>372</v>
      </c>
      <c r="C240" s="37" t="s">
        <v>373</v>
      </c>
      <c r="D240" s="37" t="s">
        <v>401</v>
      </c>
      <c r="E240" s="37">
        <v>9866250123</v>
      </c>
      <c r="F240" s="37" t="s">
        <v>375</v>
      </c>
      <c r="G240" s="37" t="s">
        <v>385</v>
      </c>
      <c r="H240" s="37">
        <v>2519.94</v>
      </c>
      <c r="I240" s="37">
        <v>15</v>
      </c>
      <c r="J240" s="39">
        <v>11123.31</v>
      </c>
      <c r="K240" s="37" t="s">
        <v>389</v>
      </c>
      <c r="L240" s="37">
        <v>37799.1</v>
      </c>
      <c r="M240" s="38" t="s">
        <v>377</v>
      </c>
      <c r="N240" s="2" t="str" cm="1">
        <f t="array" ref="N240">_xlfn.IFS(L240&gt;15000, "High", L240&gt;5000, "Medium", TRUE, "Low")</f>
        <v>High</v>
      </c>
      <c r="O240" s="43">
        <f>(J240/(H240*I240))</f>
        <v>0.2942744668523854</v>
      </c>
      <c r="Q240" s="22" t="s">
        <v>229</v>
      </c>
      <c r="R240" s="44">
        <v>1137168.3600000001</v>
      </c>
      <c r="S240" s="44">
        <v>225354.67</v>
      </c>
      <c r="T240" s="2"/>
      <c r="U240" s="2"/>
      <c r="V240" s="2"/>
      <c r="W240" s="2"/>
      <c r="X240" s="2"/>
      <c r="Y240" s="2"/>
      <c r="Z240" s="2"/>
    </row>
    <row r="241" spans="1:26" ht="15" thickBot="1">
      <c r="A241" s="37" t="s">
        <v>402</v>
      </c>
      <c r="B241" s="37" t="s">
        <v>383</v>
      </c>
      <c r="C241" s="37" t="s">
        <v>373</v>
      </c>
      <c r="D241" s="37" t="s">
        <v>403</v>
      </c>
      <c r="E241" s="37">
        <v>9884314044</v>
      </c>
      <c r="F241" s="37" t="s">
        <v>375</v>
      </c>
      <c r="G241" s="37" t="s">
        <v>385</v>
      </c>
      <c r="H241" s="37">
        <v>2814.97</v>
      </c>
      <c r="I241" s="37">
        <v>1</v>
      </c>
      <c r="J241" s="37">
        <v>716.15</v>
      </c>
      <c r="K241" s="37" t="s">
        <v>381</v>
      </c>
      <c r="L241" s="37">
        <v>2814.97</v>
      </c>
      <c r="M241" s="38" t="s">
        <v>386</v>
      </c>
      <c r="N241" s="2" t="str" cm="1">
        <f t="array" ref="N241">_xlfn.IFS(L241&gt;15000, "High", L241&gt;5000, "Medium", TRUE, "Low")</f>
        <v>Low</v>
      </c>
      <c r="O241" s="43">
        <f>(J241/(H241*I241))</f>
        <v>0.25440768462896585</v>
      </c>
      <c r="Q241" s="2"/>
      <c r="R241" s="2"/>
      <c r="S241" s="2"/>
      <c r="T241" s="2"/>
      <c r="U241" s="2"/>
      <c r="V241" s="2"/>
      <c r="W241" s="2"/>
      <c r="X241" s="2"/>
      <c r="Y241" s="2"/>
      <c r="Z241" s="2"/>
    </row>
    <row r="242" spans="1:26" ht="15" thickBot="1">
      <c r="A242" s="37" t="s">
        <v>404</v>
      </c>
      <c r="B242" s="37" t="s">
        <v>394</v>
      </c>
      <c r="C242" s="37" t="s">
        <v>373</v>
      </c>
      <c r="D242" s="37" t="s">
        <v>384</v>
      </c>
      <c r="E242" s="37">
        <v>9192128284</v>
      </c>
      <c r="F242" s="37" t="s">
        <v>375</v>
      </c>
      <c r="G242" s="37" t="s">
        <v>259</v>
      </c>
      <c r="H242" s="37">
        <v>841.72</v>
      </c>
      <c r="I242" s="37">
        <v>13</v>
      </c>
      <c r="J242" s="37">
        <v>2130.1799999999998</v>
      </c>
      <c r="K242" s="37" t="s">
        <v>262</v>
      </c>
      <c r="L242" s="37">
        <v>10942.36</v>
      </c>
      <c r="M242" s="38" t="s">
        <v>377</v>
      </c>
      <c r="N242" s="2" t="str" cm="1">
        <f t="array" ref="N242">_xlfn.IFS(L242&gt;15000, "High", L242&gt;5000, "Medium", TRUE, "Low")</f>
        <v>Medium</v>
      </c>
      <c r="O242" s="43">
        <f>(J242/(H242*I242))</f>
        <v>0.19467281281186141</v>
      </c>
      <c r="Q242" s="2"/>
      <c r="R242" s="2"/>
      <c r="S242" s="2"/>
      <c r="T242" s="2"/>
      <c r="U242" s="2"/>
      <c r="V242" s="2"/>
      <c r="W242" s="2"/>
      <c r="X242" s="2"/>
      <c r="Y242" s="2"/>
      <c r="Z242" s="2"/>
    </row>
    <row r="243" spans="1:26" ht="15" thickBot="1">
      <c r="A243" s="37" t="s">
        <v>405</v>
      </c>
      <c r="B243" s="37" t="s">
        <v>406</v>
      </c>
      <c r="C243" s="37" t="s">
        <v>373</v>
      </c>
      <c r="D243" s="37" t="s">
        <v>384</v>
      </c>
      <c r="E243" s="37">
        <v>9731590483</v>
      </c>
      <c r="F243" s="37" t="s">
        <v>245</v>
      </c>
      <c r="G243" s="37" t="s">
        <v>301</v>
      </c>
      <c r="H243" s="37">
        <v>1169.28</v>
      </c>
      <c r="I243" s="37">
        <v>2</v>
      </c>
      <c r="J243" s="37">
        <v>273.95</v>
      </c>
      <c r="K243" s="37" t="s">
        <v>247</v>
      </c>
      <c r="L243" s="37">
        <v>2338.56</v>
      </c>
      <c r="M243" s="38" t="s">
        <v>386</v>
      </c>
      <c r="N243" s="2" t="str" cm="1">
        <f t="array" ref="N243">_xlfn.IFS(L243&gt;15000, "High", L243&gt;5000, "Medium", TRUE, "Low")</f>
        <v>Low</v>
      </c>
      <c r="O243" s="43">
        <f>(J243/(H243*I243))</f>
        <v>0.11714473864258347</v>
      </c>
      <c r="Q243" s="2"/>
      <c r="R243" s="2"/>
      <c r="S243" s="2"/>
      <c r="T243" s="2"/>
      <c r="U243" s="2"/>
      <c r="V243" s="2"/>
      <c r="W243" s="2"/>
      <c r="X243" s="2"/>
      <c r="Y243" s="2"/>
      <c r="Z243" s="2"/>
    </row>
    <row r="244" spans="1:26" ht="15" thickBot="1">
      <c r="A244" s="37" t="s">
        <v>407</v>
      </c>
      <c r="B244" s="37" t="s">
        <v>372</v>
      </c>
      <c r="C244" s="37" t="s">
        <v>373</v>
      </c>
      <c r="D244" s="37" t="s">
        <v>374</v>
      </c>
      <c r="E244" s="37">
        <v>9245312903</v>
      </c>
      <c r="F244" s="37" t="s">
        <v>379</v>
      </c>
      <c r="G244" s="37" t="s">
        <v>305</v>
      </c>
      <c r="H244" s="37">
        <v>2320.0300000000002</v>
      </c>
      <c r="I244" s="37">
        <v>3</v>
      </c>
      <c r="J244" s="37">
        <v>1260.55</v>
      </c>
      <c r="K244" s="37" t="s">
        <v>247</v>
      </c>
      <c r="L244" s="37">
        <v>6960.09</v>
      </c>
      <c r="M244" s="38" t="s">
        <v>390</v>
      </c>
      <c r="N244" s="2" t="str" cm="1">
        <f t="array" ref="N244">_xlfn.IFS(L244&gt;15000, "High", L244&gt;5000, "Medium", TRUE, "Low")</f>
        <v>Medium</v>
      </c>
      <c r="O244" s="43">
        <f>(J244/(H244*I244))</f>
        <v>0.1811111637924222</v>
      </c>
      <c r="Q244" s="21" t="s">
        <v>228</v>
      </c>
      <c r="R244" t="s">
        <v>501</v>
      </c>
      <c r="T244" s="2"/>
      <c r="U244" s="2"/>
      <c r="V244" s="2"/>
      <c r="W244" s="2"/>
      <c r="X244" s="2"/>
      <c r="Y244" s="2"/>
      <c r="Z244" s="2"/>
    </row>
    <row r="245" spans="1:26" ht="15" thickBot="1">
      <c r="A245" s="37" t="s">
        <v>408</v>
      </c>
      <c r="B245" s="37" t="s">
        <v>406</v>
      </c>
      <c r="C245" s="37" t="s">
        <v>373</v>
      </c>
      <c r="D245" s="37" t="s">
        <v>384</v>
      </c>
      <c r="E245" s="37">
        <v>9587137236</v>
      </c>
      <c r="F245" s="37" t="s">
        <v>375</v>
      </c>
      <c r="G245" s="37" t="s">
        <v>385</v>
      </c>
      <c r="H245" s="37">
        <v>1780.66</v>
      </c>
      <c r="I245" s="37">
        <v>11</v>
      </c>
      <c r="J245" s="37">
        <v>2826.93</v>
      </c>
      <c r="K245" s="37" t="s">
        <v>262</v>
      </c>
      <c r="L245" s="37">
        <v>19587.259999999998</v>
      </c>
      <c r="M245" s="38" t="s">
        <v>377</v>
      </c>
      <c r="N245" s="2" t="str" cm="1">
        <f t="array" ref="N245">_xlfn.IFS(L245&gt;15000, "High", L245&gt;5000, "Medium", TRUE, "Low")</f>
        <v>High</v>
      </c>
      <c r="O245" s="43">
        <f>(J245/(H245*I245))</f>
        <v>0.14432493365585589</v>
      </c>
      <c r="Q245" s="22" t="s">
        <v>375</v>
      </c>
      <c r="R245" s="44">
        <v>7.2249999999999996</v>
      </c>
      <c r="T245" s="2"/>
      <c r="U245" s="2"/>
      <c r="V245" s="2"/>
      <c r="W245" s="2"/>
      <c r="X245" s="2"/>
      <c r="Y245" s="2"/>
      <c r="Z245" s="2"/>
    </row>
    <row r="246" spans="1:26" ht="15" thickBot="1">
      <c r="A246" s="37" t="s">
        <v>409</v>
      </c>
      <c r="B246" s="37" t="s">
        <v>406</v>
      </c>
      <c r="C246" s="37" t="s">
        <v>373</v>
      </c>
      <c r="D246" s="37" t="s">
        <v>395</v>
      </c>
      <c r="E246" s="37">
        <v>9161819590</v>
      </c>
      <c r="F246" s="37" t="s">
        <v>245</v>
      </c>
      <c r="G246" s="37" t="s">
        <v>215</v>
      </c>
      <c r="H246" s="37">
        <v>2672</v>
      </c>
      <c r="I246" s="37">
        <v>15</v>
      </c>
      <c r="J246" s="37">
        <v>4719.91</v>
      </c>
      <c r="K246" s="37" t="s">
        <v>389</v>
      </c>
      <c r="L246" s="37">
        <v>40080</v>
      </c>
      <c r="M246" s="38" t="s">
        <v>377</v>
      </c>
      <c r="N246" s="2" t="str" cm="1">
        <f t="array" ref="N246">_xlfn.IFS(L246&gt;15000, "High", L246&gt;5000, "Medium", TRUE, "Low")</f>
        <v>High</v>
      </c>
      <c r="O246" s="43">
        <f>(J246/(H246*I246))</f>
        <v>0.11776222554890219</v>
      </c>
      <c r="Q246" s="22" t="s">
        <v>245</v>
      </c>
      <c r="R246" s="44">
        <v>8.115384615384615</v>
      </c>
      <c r="T246" s="2"/>
      <c r="U246" s="2"/>
      <c r="V246" s="2"/>
      <c r="W246" s="2"/>
      <c r="X246" s="2"/>
      <c r="Y246" s="2"/>
      <c r="Z246" s="2"/>
    </row>
    <row r="247" spans="1:26" ht="15" thickBot="1">
      <c r="A247" s="37" t="s">
        <v>410</v>
      </c>
      <c r="B247" s="37" t="s">
        <v>383</v>
      </c>
      <c r="C247" s="37" t="s">
        <v>373</v>
      </c>
      <c r="D247" s="37" t="s">
        <v>384</v>
      </c>
      <c r="E247" s="37">
        <v>9551484924</v>
      </c>
      <c r="F247" s="37" t="s">
        <v>375</v>
      </c>
      <c r="G247" s="37" t="s">
        <v>411</v>
      </c>
      <c r="H247" s="37">
        <v>824.49</v>
      </c>
      <c r="I247" s="37">
        <v>9</v>
      </c>
      <c r="J247" s="37">
        <v>1403.14</v>
      </c>
      <c r="K247" s="37" t="s">
        <v>412</v>
      </c>
      <c r="L247" s="37">
        <v>7420.41</v>
      </c>
      <c r="M247" s="38" t="s">
        <v>390</v>
      </c>
      <c r="N247" s="2" t="str" cm="1">
        <f t="array" ref="N247">_xlfn.IFS(L247&gt;15000, "High", L247&gt;5000, "Medium", TRUE, "Low")</f>
        <v>Medium</v>
      </c>
      <c r="O247" s="43">
        <f>(J247/(H247*I247))</f>
        <v>0.18909197739747535</v>
      </c>
      <c r="Q247" s="22" t="s">
        <v>379</v>
      </c>
      <c r="R247" s="44">
        <v>7.7647058823529411</v>
      </c>
      <c r="T247" s="2"/>
      <c r="U247" s="2"/>
      <c r="V247" s="2"/>
      <c r="W247" s="2"/>
      <c r="X247" s="2"/>
      <c r="Y247" s="2"/>
      <c r="Z247" s="2"/>
    </row>
    <row r="248" spans="1:26" ht="15" thickBot="1">
      <c r="A248" s="37" t="s">
        <v>413</v>
      </c>
      <c r="B248" s="37" t="s">
        <v>394</v>
      </c>
      <c r="C248" s="37" t="s">
        <v>373</v>
      </c>
      <c r="D248" s="37" t="s">
        <v>414</v>
      </c>
      <c r="E248" s="40">
        <v>91682255459</v>
      </c>
      <c r="F248" s="37" t="s">
        <v>245</v>
      </c>
      <c r="G248" s="37" t="s">
        <v>223</v>
      </c>
      <c r="H248" s="37">
        <v>2896.96</v>
      </c>
      <c r="I248" s="37">
        <v>7</v>
      </c>
      <c r="J248" s="37">
        <v>3528.3</v>
      </c>
      <c r="K248" s="37" t="s">
        <v>381</v>
      </c>
      <c r="L248" s="37">
        <v>20278.72</v>
      </c>
      <c r="M248" s="38" t="s">
        <v>377</v>
      </c>
      <c r="N248" s="2" t="str" cm="1">
        <f t="array" ref="N248">_xlfn.IFS(L248&gt;15000, "High", L248&gt;5000, "Medium", TRUE, "Low")</f>
        <v>High</v>
      </c>
      <c r="O248" s="43">
        <f>(J248/(H248*I248))</f>
        <v>0.17399027157532626</v>
      </c>
      <c r="Q248" s="22" t="s">
        <v>229</v>
      </c>
      <c r="R248" s="44">
        <v>7.64</v>
      </c>
      <c r="T248" s="2"/>
      <c r="U248" s="2"/>
      <c r="V248" s="2"/>
      <c r="W248" s="2"/>
      <c r="X248" s="2"/>
      <c r="Y248" s="2"/>
      <c r="Z248" s="2"/>
    </row>
    <row r="249" spans="1:26" ht="15" thickBot="1">
      <c r="A249" s="37" t="s">
        <v>415</v>
      </c>
      <c r="B249" s="37" t="s">
        <v>383</v>
      </c>
      <c r="C249" s="37" t="s">
        <v>373</v>
      </c>
      <c r="D249" s="37" t="s">
        <v>399</v>
      </c>
      <c r="E249" s="37">
        <v>9277023818</v>
      </c>
      <c r="F249" s="37" t="s">
        <v>245</v>
      </c>
      <c r="G249" s="37" t="s">
        <v>215</v>
      </c>
      <c r="H249" s="37">
        <v>1235.32</v>
      </c>
      <c r="I249" s="37">
        <v>9</v>
      </c>
      <c r="J249" s="37">
        <v>2542.0700000000002</v>
      </c>
      <c r="K249" s="37" t="s">
        <v>412</v>
      </c>
      <c r="L249" s="37">
        <v>11117.88</v>
      </c>
      <c r="M249" s="38" t="s">
        <v>377</v>
      </c>
      <c r="N249" s="2" t="str" cm="1">
        <f t="array" ref="N249">_xlfn.IFS(L249&gt;15000, "High", L249&gt;5000, "Medium", TRUE, "Low")</f>
        <v>Medium</v>
      </c>
      <c r="O249" s="43">
        <f>(J249/(H249*I249))</f>
        <v>0.22864700824257866</v>
      </c>
      <c r="T249" s="2"/>
      <c r="U249" s="2"/>
      <c r="V249" s="2"/>
      <c r="W249" s="2"/>
      <c r="X249" s="2"/>
      <c r="Y249" s="2"/>
      <c r="Z249" s="2"/>
    </row>
    <row r="250" spans="1:26" ht="15" thickBot="1">
      <c r="A250" s="37" t="s">
        <v>416</v>
      </c>
      <c r="B250" s="37" t="s">
        <v>394</v>
      </c>
      <c r="C250" s="37" t="s">
        <v>373</v>
      </c>
      <c r="D250" s="37" t="s">
        <v>401</v>
      </c>
      <c r="E250" s="37">
        <v>9670448490</v>
      </c>
      <c r="F250" s="37" t="s">
        <v>379</v>
      </c>
      <c r="G250" s="37" t="s">
        <v>380</v>
      </c>
      <c r="H250" s="37">
        <v>2168.33</v>
      </c>
      <c r="I250" s="37">
        <v>3</v>
      </c>
      <c r="J250" s="37">
        <v>1394.93</v>
      </c>
      <c r="K250" s="37" t="s">
        <v>389</v>
      </c>
      <c r="L250" s="37">
        <v>6504.99</v>
      </c>
      <c r="M250" s="38" t="s">
        <v>390</v>
      </c>
      <c r="N250" s="2" t="str" cm="1">
        <f t="array" ref="N250">_xlfn.IFS(L250&gt;15000, "High", L250&gt;5000, "Medium", TRUE, "Low")</f>
        <v>Medium</v>
      </c>
      <c r="O250" s="43">
        <f>(J250/(H250*I250))</f>
        <v>0.21443999145271556</v>
      </c>
      <c r="T250" s="2"/>
      <c r="U250" s="2"/>
      <c r="V250" s="2"/>
      <c r="W250" s="2"/>
      <c r="X250" s="2"/>
      <c r="Y250" s="2"/>
      <c r="Z250" s="2"/>
    </row>
    <row r="251" spans="1:26" ht="15" thickBot="1">
      <c r="A251" s="37" t="s">
        <v>417</v>
      </c>
      <c r="B251" s="37" t="s">
        <v>394</v>
      </c>
      <c r="C251" s="37" t="s">
        <v>373</v>
      </c>
      <c r="D251" s="37" t="s">
        <v>384</v>
      </c>
      <c r="E251" s="37">
        <v>9123788207</v>
      </c>
      <c r="F251" s="37" t="s">
        <v>375</v>
      </c>
      <c r="G251" s="37" t="s">
        <v>411</v>
      </c>
      <c r="H251" s="37">
        <v>2654.54</v>
      </c>
      <c r="I251" s="37">
        <v>5</v>
      </c>
      <c r="J251" s="37">
        <v>3308.52</v>
      </c>
      <c r="K251" s="37" t="s">
        <v>412</v>
      </c>
      <c r="L251" s="37">
        <v>13272.7</v>
      </c>
      <c r="M251" s="38" t="s">
        <v>377</v>
      </c>
      <c r="N251" s="2" t="str" cm="1">
        <f t="array" ref="N251">_xlfn.IFS(L251&gt;15000, "High", L251&gt;5000, "Medium", TRUE, "Low")</f>
        <v>Medium</v>
      </c>
      <c r="O251" s="43">
        <f>(J251/(H251*I251))</f>
        <v>0.24927256699842532</v>
      </c>
      <c r="T251" s="2"/>
      <c r="U251" s="2"/>
      <c r="V251" s="2"/>
      <c r="W251" s="2"/>
      <c r="X251" s="2"/>
      <c r="Y251" s="2"/>
      <c r="Z251" s="2"/>
    </row>
    <row r="252" spans="1:26" ht="15" thickBot="1">
      <c r="A252" s="37" t="s">
        <v>418</v>
      </c>
      <c r="B252" s="37" t="s">
        <v>372</v>
      </c>
      <c r="C252" s="37" t="s">
        <v>373</v>
      </c>
      <c r="D252" s="37" t="s">
        <v>395</v>
      </c>
      <c r="E252" s="40">
        <v>99831923457</v>
      </c>
      <c r="F252" s="37" t="s">
        <v>245</v>
      </c>
      <c r="G252" s="37" t="s">
        <v>209</v>
      </c>
      <c r="H252" s="37">
        <v>1313.77</v>
      </c>
      <c r="I252" s="37">
        <v>7</v>
      </c>
      <c r="J252" s="37">
        <v>2435.5500000000002</v>
      </c>
      <c r="K252" s="37" t="s">
        <v>389</v>
      </c>
      <c r="L252" s="37">
        <v>9196.39</v>
      </c>
      <c r="M252" s="38" t="s">
        <v>390</v>
      </c>
      <c r="N252" s="2" t="str" cm="1">
        <f t="array" ref="N252">_xlfn.IFS(L252&gt;15000, "High", L252&gt;5000, "Medium", TRUE, "Low")</f>
        <v>Medium</v>
      </c>
      <c r="O252" s="43">
        <f>(J252/(H252*I252))</f>
        <v>0.26483761562961122</v>
      </c>
      <c r="T252" s="2"/>
      <c r="U252" s="2"/>
      <c r="V252" s="2"/>
      <c r="W252" s="2"/>
      <c r="X252" s="2"/>
      <c r="Y252" s="2"/>
      <c r="Z252" s="2"/>
    </row>
    <row r="253" spans="1:26" ht="15" thickBot="1">
      <c r="A253" s="37" t="s">
        <v>419</v>
      </c>
      <c r="B253" s="37" t="s">
        <v>394</v>
      </c>
      <c r="C253" s="37" t="s">
        <v>373</v>
      </c>
      <c r="D253" s="37" t="s">
        <v>401</v>
      </c>
      <c r="E253" s="37">
        <v>9822358874</v>
      </c>
      <c r="F253" s="37" t="s">
        <v>245</v>
      </c>
      <c r="G253" s="37" t="s">
        <v>223</v>
      </c>
      <c r="H253" s="37">
        <v>1602.24</v>
      </c>
      <c r="I253" s="37">
        <v>13</v>
      </c>
      <c r="J253" s="37">
        <v>3082.85</v>
      </c>
      <c r="K253" s="37" t="s">
        <v>412</v>
      </c>
      <c r="L253" s="37">
        <v>20829.12</v>
      </c>
      <c r="M253" s="38" t="s">
        <v>377</v>
      </c>
      <c r="N253" s="2" t="str" cm="1">
        <f t="array" ref="N253">_xlfn.IFS(L253&gt;15000, "High", L253&gt;5000, "Medium", TRUE, "Low")</f>
        <v>High</v>
      </c>
      <c r="O253" s="43">
        <f>(J253/(H253*I253))</f>
        <v>0.148006732881658</v>
      </c>
      <c r="T253" s="2"/>
      <c r="U253" s="2"/>
      <c r="V253" s="2"/>
      <c r="W253" s="2"/>
      <c r="X253" s="2"/>
      <c r="Y253" s="2"/>
      <c r="Z253" s="2"/>
    </row>
    <row r="254" spans="1:26" ht="15" thickBot="1">
      <c r="A254" s="37" t="s">
        <v>420</v>
      </c>
      <c r="B254" s="37" t="s">
        <v>372</v>
      </c>
      <c r="C254" s="37" t="s">
        <v>373</v>
      </c>
      <c r="D254" s="37" t="s">
        <v>414</v>
      </c>
      <c r="E254" s="37">
        <v>9497595031</v>
      </c>
      <c r="F254" s="37" t="s">
        <v>379</v>
      </c>
      <c r="G254" s="37" t="s">
        <v>388</v>
      </c>
      <c r="H254" s="37">
        <v>592.33000000000004</v>
      </c>
      <c r="I254" s="37">
        <v>4</v>
      </c>
      <c r="J254" s="37">
        <v>539.64</v>
      </c>
      <c r="K254" s="37" t="s">
        <v>381</v>
      </c>
      <c r="L254" s="37">
        <v>2369.3200000000002</v>
      </c>
      <c r="M254" s="38" t="s">
        <v>386</v>
      </c>
      <c r="N254" s="2" t="str" cm="1">
        <f t="array" ref="N254">_xlfn.IFS(L254&gt;15000, "High", L254&gt;5000, "Medium", TRUE, "Low")</f>
        <v>Low</v>
      </c>
      <c r="O254" s="43">
        <f>(J254/(H254*I254))</f>
        <v>0.22776155183765803</v>
      </c>
      <c r="T254" s="2"/>
      <c r="U254" s="2"/>
      <c r="V254" s="2"/>
      <c r="W254" s="2"/>
      <c r="X254" s="2"/>
      <c r="Y254" s="2"/>
      <c r="Z254" s="2"/>
    </row>
    <row r="255" spans="1:26" ht="15" thickBot="1">
      <c r="A255" s="37" t="s">
        <v>421</v>
      </c>
      <c r="B255" s="37" t="s">
        <v>383</v>
      </c>
      <c r="C255" s="37" t="s">
        <v>373</v>
      </c>
      <c r="D255" s="37" t="s">
        <v>403</v>
      </c>
      <c r="E255" s="37">
        <v>9781615192</v>
      </c>
      <c r="F255" s="37" t="s">
        <v>245</v>
      </c>
      <c r="G255" s="37" t="s">
        <v>215</v>
      </c>
      <c r="H255" s="37">
        <v>589.14</v>
      </c>
      <c r="I255" s="37">
        <v>8</v>
      </c>
      <c r="J255" s="37">
        <v>1252.56</v>
      </c>
      <c r="K255" s="37" t="s">
        <v>389</v>
      </c>
      <c r="L255" s="37">
        <v>4713.12</v>
      </c>
      <c r="M255" s="38" t="s">
        <v>386</v>
      </c>
      <c r="N255" s="2" t="str" cm="1">
        <f t="array" ref="N255">_xlfn.IFS(L255&gt;15000, "High", L255&gt;5000, "Medium", TRUE, "Low")</f>
        <v>Low</v>
      </c>
      <c r="O255" s="43">
        <f>(J255/(H255*I255))</f>
        <v>0.26576026071901415</v>
      </c>
      <c r="T255" s="2"/>
      <c r="U255" s="2"/>
      <c r="V255" s="2"/>
      <c r="W255" s="2"/>
      <c r="X255" s="2"/>
      <c r="Y255" s="2"/>
      <c r="Z255" s="2"/>
    </row>
    <row r="256" spans="1:26" ht="15" thickBot="1">
      <c r="A256" s="37" t="s">
        <v>422</v>
      </c>
      <c r="B256" s="37" t="s">
        <v>406</v>
      </c>
      <c r="C256" s="37" t="s">
        <v>373</v>
      </c>
      <c r="D256" s="37" t="s">
        <v>414</v>
      </c>
      <c r="E256" s="37">
        <v>9310431691</v>
      </c>
      <c r="F256" s="37" t="s">
        <v>379</v>
      </c>
      <c r="G256" s="37" t="s">
        <v>397</v>
      </c>
      <c r="H256" s="37">
        <v>2354.6</v>
      </c>
      <c r="I256" s="37">
        <v>4</v>
      </c>
      <c r="J256" s="37">
        <v>2575.4299999999998</v>
      </c>
      <c r="K256" s="37" t="s">
        <v>247</v>
      </c>
      <c r="L256" s="37">
        <v>9418.4</v>
      </c>
      <c r="M256" s="38" t="s">
        <v>390</v>
      </c>
      <c r="N256" s="2" t="str" cm="1">
        <f t="array" ref="N256">_xlfn.IFS(L256&gt;15000, "High", L256&gt;5000, "Medium", TRUE, "Low")</f>
        <v>Medium</v>
      </c>
      <c r="O256" s="43">
        <f>(J256/(H256*I256))</f>
        <v>0.27344665760638748</v>
      </c>
      <c r="T256" s="2"/>
      <c r="U256" s="2"/>
      <c r="V256" s="2"/>
      <c r="W256" s="2"/>
      <c r="X256" s="2"/>
      <c r="Y256" s="2"/>
      <c r="Z256" s="2"/>
    </row>
    <row r="257" spans="1:26" ht="15" thickBot="1">
      <c r="A257" s="37" t="s">
        <v>423</v>
      </c>
      <c r="B257" s="37" t="s">
        <v>394</v>
      </c>
      <c r="C257" s="37" t="s">
        <v>373</v>
      </c>
      <c r="D257" s="37" t="s">
        <v>414</v>
      </c>
      <c r="E257" s="37">
        <v>9375633062</v>
      </c>
      <c r="F257" s="37" t="s">
        <v>245</v>
      </c>
      <c r="G257" s="37" t="s">
        <v>268</v>
      </c>
      <c r="H257" s="37">
        <v>1920.55</v>
      </c>
      <c r="I257" s="37">
        <v>6</v>
      </c>
      <c r="J257" s="37">
        <v>2254.59</v>
      </c>
      <c r="K257" s="37" t="s">
        <v>247</v>
      </c>
      <c r="L257" s="37">
        <v>11523.3</v>
      </c>
      <c r="M257" s="38" t="s">
        <v>377</v>
      </c>
      <c r="N257" s="2" t="str" cm="1">
        <f t="array" ref="N257">_xlfn.IFS(L257&gt;15000, "High", L257&gt;5000, "Medium", TRUE, "Low")</f>
        <v>Medium</v>
      </c>
      <c r="O257" s="43">
        <f>(J257/(H257*I257))</f>
        <v>0.1956548905261514</v>
      </c>
      <c r="T257" s="2"/>
      <c r="U257" s="2"/>
      <c r="V257" s="2"/>
      <c r="W257" s="2"/>
      <c r="X257" s="2"/>
      <c r="Y257" s="2"/>
      <c r="Z257" s="2"/>
    </row>
    <row r="258" spans="1:26" ht="15" thickBot="1">
      <c r="A258" s="37" t="s">
        <v>424</v>
      </c>
      <c r="B258" s="37" t="s">
        <v>394</v>
      </c>
      <c r="C258" s="37" t="s">
        <v>373</v>
      </c>
      <c r="D258" s="37" t="s">
        <v>384</v>
      </c>
      <c r="E258" s="37">
        <v>9958467371</v>
      </c>
      <c r="F258" s="37" t="s">
        <v>375</v>
      </c>
      <c r="G258" s="37" t="s">
        <v>266</v>
      </c>
      <c r="H258" s="37">
        <v>1086.4100000000001</v>
      </c>
      <c r="I258" s="37">
        <v>7</v>
      </c>
      <c r="J258" s="37">
        <v>2066.7600000000002</v>
      </c>
      <c r="K258" s="37" t="s">
        <v>247</v>
      </c>
      <c r="L258" s="37">
        <v>7604.87</v>
      </c>
      <c r="M258" s="38" t="s">
        <v>390</v>
      </c>
      <c r="N258" s="2" t="str" cm="1">
        <f t="array" ref="N258">_xlfn.IFS(L258&gt;15000, "High", L258&gt;5000, "Medium", TRUE, "Low")</f>
        <v>Medium</v>
      </c>
      <c r="O258" s="43">
        <f>(J258/(H258*I258))</f>
        <v>0.27176795921560787</v>
      </c>
      <c r="T258" s="2"/>
      <c r="U258" s="2"/>
      <c r="V258" s="2"/>
      <c r="W258" s="2"/>
      <c r="X258" s="2"/>
      <c r="Y258" s="2"/>
      <c r="Z258" s="2"/>
    </row>
    <row r="259" spans="1:26" ht="15" thickBot="1">
      <c r="A259" s="37" t="s">
        <v>425</v>
      </c>
      <c r="B259" s="37" t="s">
        <v>394</v>
      </c>
      <c r="C259" s="37" t="s">
        <v>373</v>
      </c>
      <c r="D259" s="37" t="s">
        <v>384</v>
      </c>
      <c r="E259" s="37">
        <v>9485913642</v>
      </c>
      <c r="F259" s="37" t="s">
        <v>379</v>
      </c>
      <c r="G259" s="37" t="s">
        <v>305</v>
      </c>
      <c r="H259" s="37">
        <v>1181.07</v>
      </c>
      <c r="I259" s="37">
        <v>13</v>
      </c>
      <c r="J259" s="37">
        <v>3821.07</v>
      </c>
      <c r="K259" s="37" t="s">
        <v>389</v>
      </c>
      <c r="L259" s="37">
        <v>15353.91</v>
      </c>
      <c r="M259" s="38" t="s">
        <v>377</v>
      </c>
      <c r="N259" s="2" t="str" cm="1">
        <f t="array" ref="N259">_xlfn.IFS(L259&gt;15000, "High", L259&gt;5000, "Medium", TRUE, "Low")</f>
        <v>High</v>
      </c>
      <c r="O259" s="43">
        <f>(J259/(H259*I259))</f>
        <v>0.24886624970447269</v>
      </c>
      <c r="T259" s="2"/>
      <c r="U259" s="2"/>
      <c r="V259" s="2"/>
      <c r="W259" s="2"/>
      <c r="X259" s="2"/>
      <c r="Y259" s="2"/>
      <c r="Z259" s="2"/>
    </row>
    <row r="260" spans="1:26" ht="15" thickBot="1">
      <c r="A260" s="37" t="s">
        <v>426</v>
      </c>
      <c r="B260" s="37" t="s">
        <v>394</v>
      </c>
      <c r="C260" s="37" t="s">
        <v>373</v>
      </c>
      <c r="D260" s="37" t="s">
        <v>414</v>
      </c>
      <c r="E260" s="37">
        <v>9942727052</v>
      </c>
      <c r="F260" s="37" t="s">
        <v>379</v>
      </c>
      <c r="G260" s="37" t="s">
        <v>427</v>
      </c>
      <c r="H260" s="37">
        <v>2521.1999999999998</v>
      </c>
      <c r="I260" s="37">
        <v>8</v>
      </c>
      <c r="J260" s="39">
        <v>6046.68</v>
      </c>
      <c r="K260" s="37" t="s">
        <v>247</v>
      </c>
      <c r="L260" s="37">
        <v>20169.599999999999</v>
      </c>
      <c r="M260" s="38" t="s">
        <v>377</v>
      </c>
      <c r="N260" s="2" t="str" cm="1">
        <f t="array" ref="N260">_xlfn.IFS(L260&gt;15000, "High", L260&gt;5000, "Medium", TRUE, "Low")</f>
        <v>High</v>
      </c>
      <c r="O260" s="43">
        <f>(J260/(H260*I260))</f>
        <v>0.29979176582579725</v>
      </c>
      <c r="T260" s="2"/>
      <c r="U260" s="2"/>
      <c r="V260" s="2"/>
      <c r="W260" s="2"/>
      <c r="X260" s="2"/>
      <c r="Y260" s="2"/>
      <c r="Z260" s="2"/>
    </row>
    <row r="261" spans="1:26" ht="15" thickBot="1">
      <c r="A261" s="37" t="s">
        <v>428</v>
      </c>
      <c r="B261" s="37" t="s">
        <v>383</v>
      </c>
      <c r="C261" s="37" t="s">
        <v>373</v>
      </c>
      <c r="D261" s="37" t="s">
        <v>401</v>
      </c>
      <c r="E261" s="37">
        <v>9164209990</v>
      </c>
      <c r="F261" s="37" t="s">
        <v>375</v>
      </c>
      <c r="G261" s="37" t="s">
        <v>259</v>
      </c>
      <c r="H261" s="37">
        <v>1741.71</v>
      </c>
      <c r="I261" s="37">
        <v>15</v>
      </c>
      <c r="J261" s="37">
        <v>4026.14</v>
      </c>
      <c r="K261" s="37" t="s">
        <v>262</v>
      </c>
      <c r="L261" s="37">
        <v>26125.65</v>
      </c>
      <c r="M261" s="38" t="s">
        <v>377</v>
      </c>
      <c r="N261" s="2" t="str" cm="1">
        <f t="array" ref="N261">_xlfn.IFS(L261&gt;15000, "High", L261&gt;5000, "Medium", TRUE, "Low")</f>
        <v>High</v>
      </c>
      <c r="O261" s="43">
        <f>(J261/(H261*I261))</f>
        <v>0.15410678777370132</v>
      </c>
      <c r="T261" s="2"/>
      <c r="U261" s="2"/>
      <c r="V261" s="2"/>
      <c r="W261" s="2"/>
      <c r="X261" s="2"/>
      <c r="Y261" s="2"/>
      <c r="Z261" s="2"/>
    </row>
    <row r="262" spans="1:26" ht="15" thickBot="1">
      <c r="A262" s="37" t="s">
        <v>429</v>
      </c>
      <c r="B262" s="37" t="s">
        <v>383</v>
      </c>
      <c r="C262" s="37" t="s">
        <v>373</v>
      </c>
      <c r="D262" s="37" t="s">
        <v>414</v>
      </c>
      <c r="E262" s="37">
        <v>9972130283</v>
      </c>
      <c r="F262" s="37" t="s">
        <v>379</v>
      </c>
      <c r="G262" s="37" t="s">
        <v>388</v>
      </c>
      <c r="H262" s="37">
        <v>1691.18</v>
      </c>
      <c r="I262" s="37">
        <v>9</v>
      </c>
      <c r="J262" s="37">
        <v>3286.83</v>
      </c>
      <c r="K262" s="37" t="s">
        <v>381</v>
      </c>
      <c r="L262" s="37">
        <v>15220.62</v>
      </c>
      <c r="M262" s="38" t="s">
        <v>377</v>
      </c>
      <c r="N262" s="2" t="str" cm="1">
        <f t="array" ref="N262">_xlfn.IFS(L262&gt;15000, "High", L262&gt;5000, "Medium", TRUE, "Low")</f>
        <v>High</v>
      </c>
      <c r="O262" s="43">
        <f>(J262/(H262*I262))</f>
        <v>0.21594586817094177</v>
      </c>
      <c r="Q262" s="2"/>
      <c r="R262" s="2"/>
      <c r="S262" s="2"/>
      <c r="T262" s="2"/>
      <c r="U262" s="2"/>
      <c r="V262" s="2"/>
      <c r="W262" s="2"/>
      <c r="X262" s="2"/>
      <c r="Y262" s="2"/>
      <c r="Z262" s="2"/>
    </row>
    <row r="263" spans="1:26" ht="15" thickBot="1">
      <c r="A263" s="37" t="s">
        <v>430</v>
      </c>
      <c r="B263" s="37" t="s">
        <v>383</v>
      </c>
      <c r="C263" s="37" t="s">
        <v>373</v>
      </c>
      <c r="D263" s="37" t="s">
        <v>414</v>
      </c>
      <c r="E263" s="37">
        <v>9305312346</v>
      </c>
      <c r="F263" s="37" t="s">
        <v>375</v>
      </c>
      <c r="G263" s="37" t="s">
        <v>411</v>
      </c>
      <c r="H263" s="37">
        <v>2430.4899999999998</v>
      </c>
      <c r="I263" s="37">
        <v>1</v>
      </c>
      <c r="J263" s="37">
        <v>538.34</v>
      </c>
      <c r="K263" s="37" t="s">
        <v>412</v>
      </c>
      <c r="L263" s="37">
        <v>2430.4899999999998</v>
      </c>
      <c r="M263" s="38" t="s">
        <v>386</v>
      </c>
      <c r="N263" s="2" t="str" cm="1">
        <f t="array" ref="N263">_xlfn.IFS(L263&gt;15000, "High", L263&gt;5000, "Medium", TRUE, "Low")</f>
        <v>Low</v>
      </c>
      <c r="O263" s="43">
        <f>(J263/(H263*I263))</f>
        <v>0.22149443116408629</v>
      </c>
      <c r="Q263" s="2"/>
      <c r="R263" s="2"/>
      <c r="S263" s="2"/>
      <c r="T263" s="2"/>
      <c r="U263" s="2"/>
      <c r="V263" s="2"/>
      <c r="W263" s="2"/>
      <c r="X263" s="2"/>
      <c r="Y263" s="2"/>
      <c r="Z263" s="2"/>
    </row>
    <row r="264" spans="1:26" ht="15" thickBot="1">
      <c r="A264" s="37" t="s">
        <v>431</v>
      </c>
      <c r="B264" s="37" t="s">
        <v>372</v>
      </c>
      <c r="C264" s="37" t="s">
        <v>373</v>
      </c>
      <c r="D264" s="37" t="s">
        <v>414</v>
      </c>
      <c r="E264" s="37">
        <v>9403336927</v>
      </c>
      <c r="F264" s="37" t="s">
        <v>375</v>
      </c>
      <c r="G264" s="37" t="s">
        <v>266</v>
      </c>
      <c r="H264" s="37">
        <v>1937.5</v>
      </c>
      <c r="I264" s="37">
        <v>10</v>
      </c>
      <c r="J264" s="37">
        <v>2548.08</v>
      </c>
      <c r="K264" s="37" t="s">
        <v>262</v>
      </c>
      <c r="L264" s="37">
        <v>19375</v>
      </c>
      <c r="M264" s="38" t="s">
        <v>377</v>
      </c>
      <c r="N264" s="2" t="str" cm="1">
        <f t="array" ref="N264">_xlfn.IFS(L264&gt;15000, "High", L264&gt;5000, "Medium", TRUE, "Low")</f>
        <v>High</v>
      </c>
      <c r="O264" s="43">
        <f>(J264/(H264*I264))</f>
        <v>0.1315138064516129</v>
      </c>
      <c r="Q264" s="2"/>
      <c r="R264" s="2"/>
      <c r="S264" s="2"/>
      <c r="T264" s="2"/>
      <c r="U264" s="2"/>
      <c r="V264" s="2"/>
      <c r="W264" s="2"/>
      <c r="X264" s="2"/>
      <c r="Y264" s="2"/>
      <c r="Z264" s="2"/>
    </row>
    <row r="265" spans="1:26" ht="15" thickBot="1">
      <c r="A265" s="37" t="s">
        <v>432</v>
      </c>
      <c r="B265" s="37" t="s">
        <v>406</v>
      </c>
      <c r="C265" s="37" t="s">
        <v>373</v>
      </c>
      <c r="D265" s="37" t="s">
        <v>374</v>
      </c>
      <c r="E265" s="37">
        <v>9209432112</v>
      </c>
      <c r="F265" s="37" t="s">
        <v>375</v>
      </c>
      <c r="G265" s="37" t="s">
        <v>385</v>
      </c>
      <c r="H265" s="37">
        <v>2848.61</v>
      </c>
      <c r="I265" s="37">
        <v>15</v>
      </c>
      <c r="J265" s="39">
        <v>6188.69</v>
      </c>
      <c r="K265" s="37" t="s">
        <v>412</v>
      </c>
      <c r="L265" s="37">
        <v>42729.15</v>
      </c>
      <c r="M265" s="38" t="s">
        <v>377</v>
      </c>
      <c r="N265" s="2" t="str" cm="1">
        <f t="array" ref="N265">_xlfn.IFS(L265&gt;15000, "High", L265&gt;5000, "Medium", TRUE, "Low")</f>
        <v>High</v>
      </c>
      <c r="O265" s="43">
        <f>(J265/(H265*I265))</f>
        <v>0.14483531734190827</v>
      </c>
      <c r="Q265" s="2"/>
      <c r="R265" s="2"/>
      <c r="S265" s="2"/>
      <c r="T265" s="2"/>
      <c r="U265" s="2"/>
      <c r="V265" s="2"/>
      <c r="W265" s="2"/>
      <c r="X265" s="2"/>
      <c r="Y265" s="2"/>
      <c r="Z265" s="2"/>
    </row>
    <row r="266" spans="1:26" ht="15" thickBot="1">
      <c r="A266" s="37" t="s">
        <v>433</v>
      </c>
      <c r="B266" s="37" t="s">
        <v>406</v>
      </c>
      <c r="C266" s="37" t="s">
        <v>373</v>
      </c>
      <c r="D266" s="37" t="s">
        <v>399</v>
      </c>
      <c r="E266" s="40">
        <v>92886736565</v>
      </c>
      <c r="F266" s="37" t="s">
        <v>379</v>
      </c>
      <c r="G266" s="37" t="s">
        <v>427</v>
      </c>
      <c r="H266" s="37">
        <v>537.01</v>
      </c>
      <c r="I266" s="37">
        <v>15</v>
      </c>
      <c r="J266" s="37">
        <v>848.33</v>
      </c>
      <c r="K266" s="37" t="s">
        <v>412</v>
      </c>
      <c r="L266" s="37">
        <v>8055.15</v>
      </c>
      <c r="M266" s="38" t="s">
        <v>390</v>
      </c>
      <c r="N266" s="2" t="str" cm="1">
        <f t="array" ref="N266">_xlfn.IFS(L266&gt;15000, "High", L266&gt;5000, "Medium", TRUE, "Low")</f>
        <v>Medium</v>
      </c>
      <c r="O266" s="43">
        <f>(J266/(H266*I266))</f>
        <v>0.10531523311173598</v>
      </c>
      <c r="Q266" s="2"/>
      <c r="R266" s="2"/>
      <c r="S266" s="2"/>
      <c r="T266" s="2"/>
      <c r="U266" s="2"/>
      <c r="V266" s="2"/>
      <c r="W266" s="2"/>
      <c r="X266" s="2"/>
      <c r="Y266" s="2"/>
      <c r="Z266" s="2"/>
    </row>
    <row r="267" spans="1:26" ht="15" thickBot="1">
      <c r="A267" s="37" t="s">
        <v>434</v>
      </c>
      <c r="B267" s="37" t="s">
        <v>394</v>
      </c>
      <c r="C267" s="37" t="s">
        <v>373</v>
      </c>
      <c r="D267" s="37" t="s">
        <v>374</v>
      </c>
      <c r="E267" s="37">
        <v>9696039067</v>
      </c>
      <c r="F267" s="37" t="s">
        <v>379</v>
      </c>
      <c r="G267" s="37" t="s">
        <v>388</v>
      </c>
      <c r="H267" s="37">
        <v>2052.79</v>
      </c>
      <c r="I267" s="37">
        <v>1</v>
      </c>
      <c r="J267" s="37">
        <v>296.79000000000002</v>
      </c>
      <c r="K267" s="37" t="s">
        <v>381</v>
      </c>
      <c r="L267" s="37">
        <v>2052.79</v>
      </c>
      <c r="M267" s="38" t="s">
        <v>386</v>
      </c>
      <c r="N267" s="2" t="str" cm="1">
        <f t="array" ref="N267">_xlfn.IFS(L267&gt;15000, "High", L267&gt;5000, "Medium", TRUE, "Low")</f>
        <v>Low</v>
      </c>
      <c r="O267" s="43">
        <f>(J267/(H267*I267))</f>
        <v>0.14457884147915764</v>
      </c>
      <c r="Q267" s="2"/>
      <c r="R267" s="2"/>
      <c r="S267" s="2"/>
      <c r="T267" s="2"/>
      <c r="U267" s="2"/>
      <c r="V267" s="2"/>
      <c r="W267" s="2"/>
      <c r="X267" s="2"/>
      <c r="Y267" s="2"/>
      <c r="Z267" s="2"/>
    </row>
    <row r="268" spans="1:26" ht="15" thickBot="1">
      <c r="A268" s="37" t="s">
        <v>435</v>
      </c>
      <c r="B268" s="37" t="s">
        <v>394</v>
      </c>
      <c r="C268" s="37" t="s">
        <v>373</v>
      </c>
      <c r="D268" s="37" t="s">
        <v>399</v>
      </c>
      <c r="E268" s="37">
        <v>9729755086</v>
      </c>
      <c r="F268" s="37" t="s">
        <v>375</v>
      </c>
      <c r="G268" s="37" t="s">
        <v>411</v>
      </c>
      <c r="H268" s="37">
        <v>1708.1</v>
      </c>
      <c r="I268" s="37">
        <v>3</v>
      </c>
      <c r="J268" s="37">
        <v>897.22</v>
      </c>
      <c r="K268" s="37" t="s">
        <v>247</v>
      </c>
      <c r="L268" s="37">
        <v>5124.3</v>
      </c>
      <c r="M268" s="38" t="s">
        <v>390</v>
      </c>
      <c r="N268" s="2" t="str" cm="1">
        <f t="array" ref="N268">_xlfn.IFS(L268&gt;15000, "High", L268&gt;5000, "Medium", TRUE, "Low")</f>
        <v>Medium</v>
      </c>
      <c r="O268" s="43">
        <f>(J268/(H268*I268))</f>
        <v>0.17509123197314758</v>
      </c>
      <c r="Q268" s="2"/>
      <c r="R268" s="2"/>
      <c r="S268" s="2"/>
      <c r="T268" s="2"/>
      <c r="U268" s="2"/>
      <c r="V268" s="2"/>
      <c r="W268" s="2"/>
      <c r="X268" s="2"/>
      <c r="Y268" s="2"/>
      <c r="Z268" s="2"/>
    </row>
    <row r="269" spans="1:26" ht="15" thickBot="1">
      <c r="A269" s="37" t="s">
        <v>436</v>
      </c>
      <c r="B269" s="37" t="s">
        <v>394</v>
      </c>
      <c r="C269" s="37" t="s">
        <v>373</v>
      </c>
      <c r="D269" s="37" t="s">
        <v>414</v>
      </c>
      <c r="E269" s="37">
        <v>9291717779</v>
      </c>
      <c r="F269" s="37" t="s">
        <v>245</v>
      </c>
      <c r="G269" s="37" t="s">
        <v>223</v>
      </c>
      <c r="H269" s="37">
        <v>1616.55</v>
      </c>
      <c r="I269" s="37">
        <v>14</v>
      </c>
      <c r="J269" s="39">
        <v>6621.29</v>
      </c>
      <c r="K269" s="37" t="s">
        <v>247</v>
      </c>
      <c r="L269" s="37">
        <v>22631.7</v>
      </c>
      <c r="M269" s="38" t="s">
        <v>377</v>
      </c>
      <c r="N269" s="2" t="str" cm="1">
        <f t="array" ref="N269">_xlfn.IFS(L269&gt;15000, "High", L269&gt;5000, "Medium", TRUE, "Low")</f>
        <v>High</v>
      </c>
      <c r="O269" s="43">
        <f>(J269/(H269*I269))</f>
        <v>0.29256706301338387</v>
      </c>
      <c r="Q269" s="2"/>
      <c r="R269" s="2"/>
      <c r="S269" s="2"/>
      <c r="T269" s="2"/>
      <c r="U269" s="2"/>
      <c r="V269" s="2"/>
      <c r="W269" s="2"/>
      <c r="X269" s="2"/>
      <c r="Y269" s="2"/>
      <c r="Z269" s="2"/>
    </row>
    <row r="270" spans="1:26" ht="15" thickBot="1">
      <c r="A270" s="37" t="s">
        <v>437</v>
      </c>
      <c r="B270" s="37" t="s">
        <v>394</v>
      </c>
      <c r="C270" s="37" t="s">
        <v>373</v>
      </c>
      <c r="D270" s="37" t="s">
        <v>374</v>
      </c>
      <c r="E270" s="37">
        <v>9596984707</v>
      </c>
      <c r="F270" s="37" t="s">
        <v>375</v>
      </c>
      <c r="G270" s="37" t="s">
        <v>259</v>
      </c>
      <c r="H270" s="37">
        <v>1774.62</v>
      </c>
      <c r="I270" s="37">
        <v>7</v>
      </c>
      <c r="J270" s="37">
        <v>3378.16</v>
      </c>
      <c r="K270" s="37" t="s">
        <v>247</v>
      </c>
      <c r="L270" s="37">
        <v>12422.34</v>
      </c>
      <c r="M270" s="38" t="s">
        <v>377</v>
      </c>
      <c r="N270" s="2" t="str" cm="1">
        <f t="array" ref="N270">_xlfn.IFS(L270&gt;15000, "High", L270&gt;5000, "Medium", TRUE, "Low")</f>
        <v>Medium</v>
      </c>
      <c r="O270" s="43">
        <f>(J270/(H270*I270))</f>
        <v>0.27194232326598688</v>
      </c>
      <c r="Q270" s="2"/>
      <c r="R270" s="2"/>
      <c r="S270" s="2"/>
      <c r="T270" s="2"/>
      <c r="U270" s="2"/>
      <c r="V270" s="2"/>
      <c r="W270" s="2"/>
      <c r="X270" s="2"/>
      <c r="Y270" s="2"/>
      <c r="Z270" s="2"/>
    </row>
    <row r="271" spans="1:26" ht="15" thickBot="1">
      <c r="A271" s="37" t="s">
        <v>438</v>
      </c>
      <c r="B271" s="37" t="s">
        <v>383</v>
      </c>
      <c r="C271" s="37" t="s">
        <v>373</v>
      </c>
      <c r="D271" s="37" t="s">
        <v>401</v>
      </c>
      <c r="E271" s="37">
        <v>9621477109</v>
      </c>
      <c r="F271" s="37" t="s">
        <v>245</v>
      </c>
      <c r="G271" s="37" t="s">
        <v>268</v>
      </c>
      <c r="H271" s="37">
        <v>644.14</v>
      </c>
      <c r="I271" s="37">
        <v>12</v>
      </c>
      <c r="J271" s="37">
        <v>988.52</v>
      </c>
      <c r="K271" s="37" t="s">
        <v>389</v>
      </c>
      <c r="L271" s="37">
        <v>7729.68</v>
      </c>
      <c r="M271" s="38" t="s">
        <v>390</v>
      </c>
      <c r="N271" s="2" t="str" cm="1">
        <f t="array" ref="N271">_xlfn.IFS(L271&gt;15000, "High", L271&gt;5000, "Medium", TRUE, "Low")</f>
        <v>Medium</v>
      </c>
      <c r="O271" s="43">
        <f>(J271/(H271*I271))</f>
        <v>0.12788627731031554</v>
      </c>
      <c r="Q271" s="2"/>
      <c r="R271" s="2"/>
      <c r="S271" s="2"/>
      <c r="T271" s="2"/>
      <c r="U271" s="2"/>
      <c r="V271" s="2"/>
      <c r="W271" s="2"/>
      <c r="X271" s="2"/>
      <c r="Y271" s="2"/>
      <c r="Z271" s="2"/>
    </row>
    <row r="272" spans="1:26" ht="15" thickBot="1">
      <c r="A272" s="37" t="s">
        <v>439</v>
      </c>
      <c r="B272" s="37" t="s">
        <v>383</v>
      </c>
      <c r="C272" s="37" t="s">
        <v>373</v>
      </c>
      <c r="D272" s="37" t="s">
        <v>384</v>
      </c>
      <c r="E272" s="37">
        <v>9813614929</v>
      </c>
      <c r="F272" s="37" t="s">
        <v>379</v>
      </c>
      <c r="G272" s="37" t="s">
        <v>388</v>
      </c>
      <c r="H272" s="37">
        <v>1767.47</v>
      </c>
      <c r="I272" s="37">
        <v>13</v>
      </c>
      <c r="J272" s="37">
        <v>3353.4</v>
      </c>
      <c r="K272" s="37" t="s">
        <v>262</v>
      </c>
      <c r="L272" s="37">
        <v>22977.11</v>
      </c>
      <c r="M272" s="38" t="s">
        <v>377</v>
      </c>
      <c r="N272" s="2" t="str" cm="1">
        <f t="array" ref="N272">_xlfn.IFS(L272&gt;15000, "High", L272&gt;5000, "Medium", TRUE, "Low")</f>
        <v>High</v>
      </c>
      <c r="O272" s="43">
        <f>(J272/(H272*I272))</f>
        <v>0.14594524724823965</v>
      </c>
      <c r="Q272" s="2"/>
      <c r="R272" s="2"/>
      <c r="S272" s="2"/>
      <c r="T272" s="2"/>
      <c r="U272" s="2"/>
      <c r="V272" s="2"/>
      <c r="W272" s="2"/>
      <c r="X272" s="2"/>
      <c r="Y272" s="2"/>
      <c r="Z272" s="2"/>
    </row>
    <row r="273" spans="1:26" ht="15" thickBot="1">
      <c r="A273" s="37" t="s">
        <v>440</v>
      </c>
      <c r="B273" s="37" t="s">
        <v>394</v>
      </c>
      <c r="C273" s="37" t="s">
        <v>373</v>
      </c>
      <c r="D273" s="37" t="s">
        <v>395</v>
      </c>
      <c r="E273" s="37">
        <v>9314930259</v>
      </c>
      <c r="F273" s="37" t="s">
        <v>375</v>
      </c>
      <c r="G273" s="37" t="s">
        <v>266</v>
      </c>
      <c r="H273" s="37">
        <v>2506.6</v>
      </c>
      <c r="I273" s="37">
        <v>11</v>
      </c>
      <c r="J273" s="39">
        <v>8011.16</v>
      </c>
      <c r="K273" s="37" t="s">
        <v>262</v>
      </c>
      <c r="L273" s="37">
        <v>27572.6</v>
      </c>
      <c r="M273" s="38" t="s">
        <v>377</v>
      </c>
      <c r="N273" s="2" t="str" cm="1">
        <f t="array" ref="N273">_xlfn.IFS(L273&gt;15000, "High", L273&gt;5000, "Medium", TRUE, "Low")</f>
        <v>High</v>
      </c>
      <c r="O273" s="43">
        <f>(J273/(H273*I273))</f>
        <v>0.29054786273329319</v>
      </c>
      <c r="Q273" s="2"/>
      <c r="R273" s="2"/>
      <c r="S273" s="2"/>
      <c r="T273" s="2"/>
      <c r="U273" s="2"/>
      <c r="V273" s="2"/>
      <c r="W273" s="2"/>
      <c r="X273" s="2"/>
      <c r="Y273" s="2"/>
      <c r="Z273" s="2"/>
    </row>
    <row r="274" spans="1:26" ht="15" thickBot="1">
      <c r="A274" s="37" t="s">
        <v>441</v>
      </c>
      <c r="B274" s="37" t="s">
        <v>372</v>
      </c>
      <c r="C274" s="37" t="s">
        <v>373</v>
      </c>
      <c r="D274" s="37" t="s">
        <v>384</v>
      </c>
      <c r="E274" s="40">
        <v>93262535688</v>
      </c>
      <c r="F274" s="37" t="s">
        <v>245</v>
      </c>
      <c r="G274" s="37" t="s">
        <v>301</v>
      </c>
      <c r="H274" s="37">
        <v>727.87</v>
      </c>
      <c r="I274" s="37">
        <v>2</v>
      </c>
      <c r="J274" s="37">
        <v>385.93</v>
      </c>
      <c r="K274" s="37" t="s">
        <v>247</v>
      </c>
      <c r="L274" s="37">
        <v>1455.74</v>
      </c>
      <c r="M274" s="38" t="s">
        <v>386</v>
      </c>
      <c r="N274" s="2" t="str" cm="1">
        <f t="array" ref="N274">_xlfn.IFS(L274&gt;15000, "High", L274&gt;5000, "Medium", TRUE, "Low")</f>
        <v>Low</v>
      </c>
      <c r="O274" s="43">
        <f>(J274/(H274*I274))</f>
        <v>0.26510915410718949</v>
      </c>
      <c r="Q274" s="2"/>
      <c r="R274" s="2"/>
      <c r="S274" s="2"/>
      <c r="T274" s="2"/>
      <c r="U274" s="2"/>
      <c r="V274" s="2"/>
      <c r="W274" s="2"/>
      <c r="X274" s="2"/>
      <c r="Y274" s="2"/>
      <c r="Z274" s="2"/>
    </row>
    <row r="275" spans="1:26" ht="15" thickBot="1">
      <c r="A275" s="37" t="s">
        <v>442</v>
      </c>
      <c r="B275" s="37" t="s">
        <v>372</v>
      </c>
      <c r="C275" s="37" t="s">
        <v>373</v>
      </c>
      <c r="D275" s="37" t="s">
        <v>414</v>
      </c>
      <c r="E275" s="37">
        <v>9922473225</v>
      </c>
      <c r="F275" s="37" t="s">
        <v>379</v>
      </c>
      <c r="G275" s="37" t="s">
        <v>388</v>
      </c>
      <c r="H275" s="37">
        <v>2509.39</v>
      </c>
      <c r="I275" s="37">
        <v>4</v>
      </c>
      <c r="J275" s="37">
        <v>2607.48</v>
      </c>
      <c r="K275" s="37" t="s">
        <v>247</v>
      </c>
      <c r="L275" s="37">
        <v>10037.56</v>
      </c>
      <c r="M275" s="38" t="s">
        <v>377</v>
      </c>
      <c r="N275" s="2" t="str" cm="1">
        <f t="array" ref="N275">_xlfn.IFS(L275&gt;15000, "High", L275&gt;5000, "Medium", TRUE, "Low")</f>
        <v>Medium</v>
      </c>
      <c r="O275" s="43">
        <f>(J275/(H275*I275))</f>
        <v>0.25977229525900719</v>
      </c>
      <c r="Q275" s="2"/>
      <c r="R275" s="2"/>
      <c r="S275" s="2"/>
      <c r="T275" s="2"/>
      <c r="U275" s="2"/>
      <c r="V275" s="2"/>
      <c r="W275" s="2"/>
      <c r="X275" s="2"/>
      <c r="Y275" s="2"/>
      <c r="Z275" s="2"/>
    </row>
    <row r="276" spans="1:26" ht="15" thickBot="1">
      <c r="A276" s="37" t="s">
        <v>443</v>
      </c>
      <c r="B276" s="37" t="s">
        <v>406</v>
      </c>
      <c r="C276" s="37" t="s">
        <v>373</v>
      </c>
      <c r="D276" s="37" t="s">
        <v>403</v>
      </c>
      <c r="E276" s="37">
        <v>9435049619</v>
      </c>
      <c r="F276" s="37" t="s">
        <v>245</v>
      </c>
      <c r="G276" s="37" t="s">
        <v>215</v>
      </c>
      <c r="H276" s="37">
        <v>254.27</v>
      </c>
      <c r="I276" s="37">
        <v>5</v>
      </c>
      <c r="J276" s="37">
        <v>247.89</v>
      </c>
      <c r="K276" s="37" t="s">
        <v>381</v>
      </c>
      <c r="L276" s="37">
        <v>1271.3499999999999</v>
      </c>
      <c r="M276" s="38" t="s">
        <v>386</v>
      </c>
      <c r="N276" s="2" t="str" cm="1">
        <f t="array" ref="N276">_xlfn.IFS(L276&gt;15000, "High", L276&gt;5000, "Medium", TRUE, "Low")</f>
        <v>Low</v>
      </c>
      <c r="O276" s="43">
        <f>(J276/(H276*I276))</f>
        <v>0.19498171235301054</v>
      </c>
      <c r="Q276" s="2"/>
      <c r="R276" s="2"/>
      <c r="S276" s="2"/>
      <c r="T276" s="2"/>
      <c r="U276" s="2"/>
      <c r="V276" s="2"/>
      <c r="W276" s="2"/>
      <c r="X276" s="2"/>
      <c r="Y276" s="2"/>
      <c r="Z276" s="2"/>
    </row>
    <row r="277" spans="1:26" ht="15" thickBot="1">
      <c r="A277" s="37" t="s">
        <v>444</v>
      </c>
      <c r="B277" s="37" t="s">
        <v>394</v>
      </c>
      <c r="C277" s="37" t="s">
        <v>373</v>
      </c>
      <c r="D277" s="37" t="s">
        <v>414</v>
      </c>
      <c r="E277" s="37">
        <v>9139717689</v>
      </c>
      <c r="F277" s="37" t="s">
        <v>245</v>
      </c>
      <c r="G277" s="37" t="s">
        <v>301</v>
      </c>
      <c r="H277" s="37">
        <v>1104.23</v>
      </c>
      <c r="I277" s="37">
        <v>11</v>
      </c>
      <c r="J277" s="37">
        <v>1883.37</v>
      </c>
      <c r="K277" s="37" t="s">
        <v>247</v>
      </c>
      <c r="L277" s="37">
        <v>12146.53</v>
      </c>
      <c r="M277" s="38" t="s">
        <v>377</v>
      </c>
      <c r="N277" s="2" t="str" cm="1">
        <f t="array" ref="N277">_xlfn.IFS(L277&gt;15000, "High", L277&gt;5000, "Medium", TRUE, "Low")</f>
        <v>Medium</v>
      </c>
      <c r="O277" s="43">
        <f>(J277/(H277*I277))</f>
        <v>0.1550541595006969</v>
      </c>
      <c r="Q277" s="2"/>
      <c r="R277" s="2"/>
      <c r="S277" s="2"/>
      <c r="T277" s="2"/>
      <c r="U277" s="2"/>
      <c r="V277" s="2"/>
      <c r="W277" s="2"/>
      <c r="X277" s="2"/>
      <c r="Y277" s="2"/>
      <c r="Z277" s="2"/>
    </row>
    <row r="278" spans="1:26" ht="15" thickBot="1">
      <c r="A278" s="37" t="s">
        <v>445</v>
      </c>
      <c r="B278" s="37" t="s">
        <v>383</v>
      </c>
      <c r="C278" s="37" t="s">
        <v>373</v>
      </c>
      <c r="D278" s="37" t="s">
        <v>384</v>
      </c>
      <c r="E278" s="37">
        <v>9873282041</v>
      </c>
      <c r="F278" s="37" t="s">
        <v>245</v>
      </c>
      <c r="G278" s="37" t="s">
        <v>209</v>
      </c>
      <c r="H278" s="37">
        <v>861.53</v>
      </c>
      <c r="I278" s="37">
        <v>3</v>
      </c>
      <c r="J278" s="37">
        <v>482.01</v>
      </c>
      <c r="K278" s="37" t="s">
        <v>412</v>
      </c>
      <c r="L278" s="37">
        <v>2584.59</v>
      </c>
      <c r="M278" s="38" t="s">
        <v>386</v>
      </c>
      <c r="N278" s="2" t="str" cm="1">
        <f t="array" ref="N278">_xlfn.IFS(L278&gt;15000, "High", L278&gt;5000, "Medium", TRUE, "Low")</f>
        <v>Low</v>
      </c>
      <c r="O278" s="43">
        <f>(J278/(H278*I278))</f>
        <v>0.18649379592120993</v>
      </c>
      <c r="Q278" s="2"/>
      <c r="R278" s="2"/>
      <c r="S278" s="2"/>
      <c r="T278" s="2"/>
      <c r="U278" s="2"/>
      <c r="V278" s="2"/>
      <c r="W278" s="2"/>
      <c r="X278" s="2"/>
      <c r="Y278" s="2"/>
      <c r="Z278" s="2"/>
    </row>
    <row r="279" spans="1:26" ht="15" thickBot="1">
      <c r="A279" s="37" t="s">
        <v>446</v>
      </c>
      <c r="B279" s="37" t="s">
        <v>406</v>
      </c>
      <c r="C279" s="37" t="s">
        <v>373</v>
      </c>
      <c r="D279" s="37" t="s">
        <v>384</v>
      </c>
      <c r="E279" s="37">
        <v>9520705759</v>
      </c>
      <c r="F279" s="37" t="s">
        <v>375</v>
      </c>
      <c r="G279" s="37" t="s">
        <v>385</v>
      </c>
      <c r="H279" s="37">
        <v>940.76</v>
      </c>
      <c r="I279" s="37">
        <v>4</v>
      </c>
      <c r="J279" s="37">
        <v>842.47</v>
      </c>
      <c r="K279" s="37" t="s">
        <v>412</v>
      </c>
      <c r="L279" s="37">
        <v>3763.04</v>
      </c>
      <c r="M279" s="38" t="s">
        <v>386</v>
      </c>
      <c r="N279" s="2" t="str" cm="1">
        <f t="array" ref="N279">_xlfn.IFS(L279&gt;15000, "High", L279&gt;5000, "Medium", TRUE, "Low")</f>
        <v>Low</v>
      </c>
      <c r="O279" s="43">
        <f>(J279/(H279*I279))</f>
        <v>0.2238801607211191</v>
      </c>
      <c r="Q279" s="2"/>
      <c r="R279" s="2"/>
      <c r="S279" s="2"/>
      <c r="T279" s="2"/>
      <c r="U279" s="2"/>
      <c r="V279" s="2"/>
      <c r="W279" s="2"/>
      <c r="X279" s="2"/>
      <c r="Y279" s="2"/>
      <c r="Z279" s="2"/>
    </row>
    <row r="280" spans="1:26" ht="15" thickBot="1">
      <c r="A280" s="37" t="s">
        <v>447</v>
      </c>
      <c r="B280" s="37" t="s">
        <v>394</v>
      </c>
      <c r="C280" s="37" t="s">
        <v>373</v>
      </c>
      <c r="D280" s="37" t="s">
        <v>384</v>
      </c>
      <c r="E280" s="37">
        <v>9648648568</v>
      </c>
      <c r="F280" s="37" t="s">
        <v>375</v>
      </c>
      <c r="G280" s="37" t="s">
        <v>385</v>
      </c>
      <c r="H280" s="37">
        <v>1505.5</v>
      </c>
      <c r="I280" s="37">
        <v>11</v>
      </c>
      <c r="J280" s="37">
        <v>3985.19</v>
      </c>
      <c r="K280" s="37" t="s">
        <v>412</v>
      </c>
      <c r="L280" s="37">
        <v>16560.5</v>
      </c>
      <c r="M280" s="38" t="s">
        <v>377</v>
      </c>
      <c r="N280" s="2" t="str" cm="1">
        <f t="array" ref="N280">_xlfn.IFS(L280&gt;15000, "High", L280&gt;5000, "Medium", TRUE, "Low")</f>
        <v>High</v>
      </c>
      <c r="O280" s="43">
        <f>(J280/(H280*I280))</f>
        <v>0.24064430421786781</v>
      </c>
      <c r="Q280" s="2"/>
      <c r="R280" s="2"/>
      <c r="S280" s="2"/>
      <c r="T280" s="2"/>
      <c r="U280" s="2"/>
      <c r="V280" s="2"/>
      <c r="W280" s="2"/>
      <c r="X280" s="2"/>
      <c r="Y280" s="2"/>
      <c r="Z280" s="2"/>
    </row>
    <row r="281" spans="1:26" ht="15" thickBot="1">
      <c r="A281" s="37" t="s">
        <v>448</v>
      </c>
      <c r="B281" s="37" t="s">
        <v>372</v>
      </c>
      <c r="C281" s="37" t="s">
        <v>373</v>
      </c>
      <c r="D281" s="37" t="s">
        <v>414</v>
      </c>
      <c r="E281" s="37">
        <v>9416435713</v>
      </c>
      <c r="F281" s="37" t="s">
        <v>375</v>
      </c>
      <c r="G281" s="37" t="s">
        <v>259</v>
      </c>
      <c r="H281" s="37">
        <v>1477.49</v>
      </c>
      <c r="I281" s="37">
        <v>11</v>
      </c>
      <c r="J281" s="37">
        <v>2428.98</v>
      </c>
      <c r="K281" s="37" t="s">
        <v>247</v>
      </c>
      <c r="L281" s="37">
        <v>16252.39</v>
      </c>
      <c r="M281" s="38" t="s">
        <v>377</v>
      </c>
      <c r="N281" s="2" t="str" cm="1">
        <f t="array" ref="N281">_xlfn.IFS(L281&gt;15000, "High", L281&gt;5000, "Medium", TRUE, "Low")</f>
        <v>High</v>
      </c>
      <c r="O281" s="43">
        <f>(J281/(H281*I281))</f>
        <v>0.14945371111571898</v>
      </c>
      <c r="Q281" s="2"/>
      <c r="R281" s="2"/>
      <c r="S281" s="2"/>
      <c r="T281" s="2"/>
      <c r="U281" s="2"/>
      <c r="V281" s="2"/>
      <c r="W281" s="2"/>
      <c r="X281" s="2"/>
      <c r="Y281" s="2"/>
      <c r="Z281" s="2"/>
    </row>
    <row r="282" spans="1:26" ht="15" thickBot="1">
      <c r="A282" s="37" t="s">
        <v>449</v>
      </c>
      <c r="B282" s="37" t="s">
        <v>394</v>
      </c>
      <c r="C282" s="37" t="s">
        <v>373</v>
      </c>
      <c r="D282" s="37" t="s">
        <v>403</v>
      </c>
      <c r="E282" s="37">
        <v>9211381294</v>
      </c>
      <c r="F282" s="37" t="s">
        <v>379</v>
      </c>
      <c r="G282" s="37" t="s">
        <v>397</v>
      </c>
      <c r="H282" s="37">
        <v>704.64</v>
      </c>
      <c r="I282" s="37">
        <v>2</v>
      </c>
      <c r="J282" s="37">
        <v>163.57</v>
      </c>
      <c r="K282" s="37" t="s">
        <v>262</v>
      </c>
      <c r="L282" s="37">
        <v>1409.28</v>
      </c>
      <c r="M282" s="38" t="s">
        <v>386</v>
      </c>
      <c r="N282" s="2" t="str" cm="1">
        <f t="array" ref="N282">_xlfn.IFS(L282&gt;15000, "High", L282&gt;5000, "Medium", TRUE, "Low")</f>
        <v>Low</v>
      </c>
      <c r="O282" s="43">
        <f>(J282/(H282*I282))</f>
        <v>0.11606636012715713</v>
      </c>
      <c r="Q282" s="2"/>
      <c r="R282" s="2"/>
      <c r="S282" s="2"/>
      <c r="T282" s="2"/>
      <c r="U282" s="2"/>
      <c r="V282" s="2"/>
      <c r="W282" s="2"/>
      <c r="X282" s="2"/>
      <c r="Y282" s="2"/>
      <c r="Z282" s="2"/>
    </row>
    <row r="283" spans="1:26" ht="15" thickBot="1">
      <c r="A283" s="37" t="s">
        <v>450</v>
      </c>
      <c r="B283" s="37" t="s">
        <v>406</v>
      </c>
      <c r="C283" s="37" t="s">
        <v>373</v>
      </c>
      <c r="D283" s="37" t="s">
        <v>384</v>
      </c>
      <c r="E283" s="37">
        <v>9791244114</v>
      </c>
      <c r="F283" s="37" t="s">
        <v>379</v>
      </c>
      <c r="G283" s="37" t="s">
        <v>427</v>
      </c>
      <c r="H283" s="37">
        <v>2030.2</v>
      </c>
      <c r="I283" s="37">
        <v>13</v>
      </c>
      <c r="J283" s="37">
        <v>3695.03</v>
      </c>
      <c r="K283" s="37" t="s">
        <v>381</v>
      </c>
      <c r="L283" s="37">
        <v>26392.6</v>
      </c>
      <c r="M283" s="38" t="s">
        <v>377</v>
      </c>
      <c r="N283" s="2" t="str" cm="1">
        <f t="array" ref="N283">_xlfn.IFS(L283&gt;15000, "High", L283&gt;5000, "Medium", TRUE, "Low")</f>
        <v>High</v>
      </c>
      <c r="O283" s="43">
        <f>(J283/(H283*I283))</f>
        <v>0.14000250070095405</v>
      </c>
      <c r="Q283" s="2"/>
      <c r="R283" s="2"/>
      <c r="S283" s="2"/>
      <c r="T283" s="2"/>
      <c r="U283" s="2"/>
      <c r="V283" s="2"/>
      <c r="W283" s="2"/>
      <c r="X283" s="2"/>
      <c r="Y283" s="2"/>
      <c r="Z283" s="2"/>
    </row>
    <row r="284" spans="1:26" ht="15" thickBot="1">
      <c r="A284" s="37" t="s">
        <v>451</v>
      </c>
      <c r="B284" s="37" t="s">
        <v>372</v>
      </c>
      <c r="C284" s="37" t="s">
        <v>373</v>
      </c>
      <c r="D284" s="37" t="s">
        <v>403</v>
      </c>
      <c r="E284" s="37">
        <v>9194670146</v>
      </c>
      <c r="F284" s="37" t="s">
        <v>375</v>
      </c>
      <c r="G284" s="37" t="s">
        <v>376</v>
      </c>
      <c r="H284" s="37">
        <v>1822.28</v>
      </c>
      <c r="I284" s="37">
        <v>4</v>
      </c>
      <c r="J284" s="37">
        <v>1973.2</v>
      </c>
      <c r="K284" s="37" t="s">
        <v>389</v>
      </c>
      <c r="L284" s="37">
        <v>7289.12</v>
      </c>
      <c r="M284" s="38" t="s">
        <v>390</v>
      </c>
      <c r="N284" s="2" t="str" cm="1">
        <f t="array" ref="N284">_xlfn.IFS(L284&gt;15000, "High", L284&gt;5000, "Medium", TRUE, "Low")</f>
        <v>Medium</v>
      </c>
      <c r="O284" s="43">
        <f>(J284/(H284*I284))</f>
        <v>0.27070483131022677</v>
      </c>
      <c r="Q284" s="2"/>
      <c r="R284" s="2"/>
      <c r="S284" s="2"/>
      <c r="T284" s="2"/>
      <c r="U284" s="2"/>
      <c r="V284" s="2"/>
      <c r="W284" s="2"/>
      <c r="X284" s="2"/>
      <c r="Y284" s="2"/>
      <c r="Z284" s="2"/>
    </row>
    <row r="285" spans="1:26" ht="15" thickBot="1">
      <c r="A285" s="37" t="s">
        <v>452</v>
      </c>
      <c r="B285" s="37" t="s">
        <v>406</v>
      </c>
      <c r="C285" s="37" t="s">
        <v>373</v>
      </c>
      <c r="D285" s="37" t="s">
        <v>399</v>
      </c>
      <c r="E285" s="37">
        <v>9519275644</v>
      </c>
      <c r="F285" s="37" t="s">
        <v>379</v>
      </c>
      <c r="G285" s="37" t="s">
        <v>388</v>
      </c>
      <c r="H285" s="37">
        <v>600.17999999999995</v>
      </c>
      <c r="I285" s="37">
        <v>11</v>
      </c>
      <c r="J285" s="37">
        <v>1525.57</v>
      </c>
      <c r="K285" s="37" t="s">
        <v>247</v>
      </c>
      <c r="L285" s="37">
        <v>6601.98</v>
      </c>
      <c r="M285" s="38" t="s">
        <v>390</v>
      </c>
      <c r="N285" s="2" t="str" cm="1">
        <f t="array" ref="N285">_xlfn.IFS(L285&gt;15000, "High", L285&gt;5000, "Medium", TRUE, "Low")</f>
        <v>Medium</v>
      </c>
      <c r="O285" s="43">
        <f>(J285/(H285*I285))</f>
        <v>0.23107764640304879</v>
      </c>
      <c r="Q285" s="2"/>
      <c r="R285" s="2"/>
      <c r="S285" s="2"/>
      <c r="T285" s="2"/>
      <c r="U285" s="2"/>
      <c r="V285" s="2"/>
      <c r="W285" s="2"/>
      <c r="X285" s="2"/>
      <c r="Y285" s="2"/>
      <c r="Z285" s="2"/>
    </row>
    <row r="286" spans="1:26" ht="15" thickBot="1">
      <c r="A286" s="37" t="s">
        <v>453</v>
      </c>
      <c r="B286" s="37" t="s">
        <v>383</v>
      </c>
      <c r="C286" s="37" t="s">
        <v>373</v>
      </c>
      <c r="D286" s="37" t="s">
        <v>399</v>
      </c>
      <c r="E286" s="37">
        <v>9520013561</v>
      </c>
      <c r="F286" s="37" t="s">
        <v>375</v>
      </c>
      <c r="G286" s="37" t="s">
        <v>385</v>
      </c>
      <c r="H286" s="37">
        <v>2330.36</v>
      </c>
      <c r="I286" s="37">
        <v>7</v>
      </c>
      <c r="J286" s="37">
        <v>3532.26</v>
      </c>
      <c r="K286" s="37" t="s">
        <v>412</v>
      </c>
      <c r="L286" s="37">
        <v>16312.52</v>
      </c>
      <c r="M286" s="38" t="s">
        <v>377</v>
      </c>
      <c r="N286" s="2" t="str" cm="1">
        <f t="array" ref="N286">_xlfn.IFS(L286&gt;15000, "High", L286&gt;5000, "Medium", TRUE, "Low")</f>
        <v>High</v>
      </c>
      <c r="O286" s="43">
        <f>(J286/(H286*I286))</f>
        <v>0.21653674600858727</v>
      </c>
      <c r="Q286" s="2"/>
      <c r="R286" s="2"/>
      <c r="S286" s="2"/>
      <c r="T286" s="2"/>
      <c r="U286" s="2"/>
      <c r="V286" s="2"/>
      <c r="W286" s="2"/>
      <c r="X286" s="2"/>
      <c r="Y286" s="2"/>
      <c r="Z286" s="2"/>
    </row>
    <row r="287" spans="1:26" ht="15" thickBot="1">
      <c r="A287" s="37" t="s">
        <v>454</v>
      </c>
      <c r="B287" s="37" t="s">
        <v>406</v>
      </c>
      <c r="C287" s="37" t="s">
        <v>373</v>
      </c>
      <c r="D287" s="37" t="s">
        <v>401</v>
      </c>
      <c r="E287" s="40">
        <v>95989895092</v>
      </c>
      <c r="F287" s="37" t="s">
        <v>245</v>
      </c>
      <c r="G287" s="37" t="s">
        <v>223</v>
      </c>
      <c r="H287" s="37">
        <v>1084.67</v>
      </c>
      <c r="I287" s="37">
        <v>13</v>
      </c>
      <c r="J287" s="37">
        <v>4140.1400000000003</v>
      </c>
      <c r="K287" s="37" t="s">
        <v>389</v>
      </c>
      <c r="L287" s="37">
        <v>14100.71</v>
      </c>
      <c r="M287" s="38" t="s">
        <v>377</v>
      </c>
      <c r="N287" s="2" t="str" cm="1">
        <f t="array" ref="N287">_xlfn.IFS(L287&gt;15000, "High", L287&gt;5000, "Medium", TRUE, "Low")</f>
        <v>Medium</v>
      </c>
      <c r="O287" s="43">
        <f>(J287/(H287*I287))</f>
        <v>0.29361216562853926</v>
      </c>
      <c r="Q287" s="2"/>
      <c r="R287" s="2"/>
      <c r="S287" s="2"/>
      <c r="T287" s="2"/>
      <c r="U287" s="2"/>
      <c r="V287" s="2"/>
      <c r="W287" s="2"/>
      <c r="X287" s="2"/>
      <c r="Y287" s="2"/>
      <c r="Z287" s="2"/>
    </row>
    <row r="288" spans="1:26" ht="15" thickBot="1">
      <c r="A288" s="37" t="s">
        <v>455</v>
      </c>
      <c r="B288" s="37" t="s">
        <v>394</v>
      </c>
      <c r="C288" s="37" t="s">
        <v>373</v>
      </c>
      <c r="D288" s="37" t="s">
        <v>414</v>
      </c>
      <c r="E288" s="37">
        <v>9499862542</v>
      </c>
      <c r="F288" s="37" t="s">
        <v>379</v>
      </c>
      <c r="G288" s="37" t="s">
        <v>427</v>
      </c>
      <c r="H288" s="37">
        <v>1893.55</v>
      </c>
      <c r="I288" s="37">
        <v>12</v>
      </c>
      <c r="J288" s="37">
        <v>3204.64</v>
      </c>
      <c r="K288" s="37" t="s">
        <v>381</v>
      </c>
      <c r="L288" s="37">
        <v>22722.6</v>
      </c>
      <c r="M288" s="38" t="s">
        <v>377</v>
      </c>
      <c r="N288" s="2" t="str" cm="1">
        <f t="array" ref="N288">_xlfn.IFS(L288&gt;15000, "High", L288&gt;5000, "Medium", TRUE, "Low")</f>
        <v>High</v>
      </c>
      <c r="O288" s="43">
        <f>(J288/(H288*I288))</f>
        <v>0.14103315641695932</v>
      </c>
      <c r="Q288" s="2"/>
      <c r="R288" s="2"/>
      <c r="S288" s="2"/>
      <c r="T288" s="2"/>
      <c r="U288" s="2"/>
      <c r="V288" s="2"/>
      <c r="W288" s="2"/>
      <c r="X288" s="2"/>
      <c r="Y288" s="2"/>
      <c r="Z288" s="2"/>
    </row>
    <row r="289" spans="1:26" ht="15" thickBot="1">
      <c r="A289" s="37" t="s">
        <v>456</v>
      </c>
      <c r="B289" s="37" t="s">
        <v>406</v>
      </c>
      <c r="C289" s="37" t="s">
        <v>373</v>
      </c>
      <c r="D289" s="37" t="s">
        <v>401</v>
      </c>
      <c r="E289" s="37">
        <v>9724136290</v>
      </c>
      <c r="F289" s="37" t="s">
        <v>379</v>
      </c>
      <c r="G289" s="37" t="s">
        <v>397</v>
      </c>
      <c r="H289" s="37">
        <v>1747.22</v>
      </c>
      <c r="I289" s="37">
        <v>6</v>
      </c>
      <c r="J289" s="37">
        <v>2678.22</v>
      </c>
      <c r="K289" s="37" t="s">
        <v>389</v>
      </c>
      <c r="L289" s="37">
        <v>10483.32</v>
      </c>
      <c r="M289" s="38" t="s">
        <v>377</v>
      </c>
      <c r="N289" s="2" t="str" cm="1">
        <f t="array" ref="N289">_xlfn.IFS(L289&gt;15000, "High", L289&gt;5000, "Medium", TRUE, "Low")</f>
        <v>Medium</v>
      </c>
      <c r="O289" s="43">
        <f>(J289/(H289*I289))</f>
        <v>0.25547441077826488</v>
      </c>
      <c r="Q289" s="2"/>
      <c r="R289" s="2"/>
      <c r="S289" s="2"/>
      <c r="T289" s="2"/>
      <c r="U289" s="2"/>
      <c r="V289" s="2"/>
      <c r="W289" s="2"/>
      <c r="X289" s="2"/>
      <c r="Y289" s="2"/>
      <c r="Z289" s="2"/>
    </row>
    <row r="290" spans="1:26" ht="15" thickBot="1">
      <c r="A290" s="37" t="s">
        <v>457</v>
      </c>
      <c r="B290" s="37" t="s">
        <v>394</v>
      </c>
      <c r="C290" s="37" t="s">
        <v>373</v>
      </c>
      <c r="D290" s="37" t="s">
        <v>401</v>
      </c>
      <c r="E290" s="37">
        <v>9321909198</v>
      </c>
      <c r="F290" s="37" t="s">
        <v>379</v>
      </c>
      <c r="G290" s="37" t="s">
        <v>305</v>
      </c>
      <c r="H290" s="37">
        <v>287.31</v>
      </c>
      <c r="I290" s="37">
        <v>8</v>
      </c>
      <c r="J290" s="37">
        <v>381.56</v>
      </c>
      <c r="K290" s="37" t="s">
        <v>412</v>
      </c>
      <c r="L290" s="37">
        <v>2298.48</v>
      </c>
      <c r="M290" s="38" t="s">
        <v>386</v>
      </c>
      <c r="N290" s="2" t="str" cm="1">
        <f t="array" ref="N290">_xlfn.IFS(L290&gt;15000, "High", L290&gt;5000, "Medium", TRUE, "Low")</f>
        <v>Low</v>
      </c>
      <c r="O290" s="43">
        <f>(J290/(H290*I290))</f>
        <v>0.16600536006404232</v>
      </c>
      <c r="Q290" s="2"/>
      <c r="R290" s="2"/>
      <c r="S290" s="2"/>
      <c r="T290" s="2"/>
      <c r="U290" s="2"/>
      <c r="V290" s="2"/>
      <c r="W290" s="2"/>
      <c r="X290" s="2"/>
      <c r="Y290" s="2"/>
      <c r="Z290" s="2"/>
    </row>
    <row r="291" spans="1:26" ht="15" thickBot="1">
      <c r="A291" s="37" t="s">
        <v>458</v>
      </c>
      <c r="B291" s="37" t="s">
        <v>406</v>
      </c>
      <c r="C291" s="37" t="s">
        <v>373</v>
      </c>
      <c r="D291" s="37" t="s">
        <v>399</v>
      </c>
      <c r="E291" s="37">
        <v>9760693305</v>
      </c>
      <c r="F291" s="37" t="s">
        <v>375</v>
      </c>
      <c r="G291" s="37" t="s">
        <v>376</v>
      </c>
      <c r="H291" s="37">
        <v>1700.05</v>
      </c>
      <c r="I291" s="37">
        <v>2</v>
      </c>
      <c r="J291" s="37">
        <v>383.92</v>
      </c>
      <c r="K291" s="37" t="s">
        <v>262</v>
      </c>
      <c r="L291" s="37">
        <v>3400.1</v>
      </c>
      <c r="M291" s="38" t="s">
        <v>386</v>
      </c>
      <c r="N291" s="2" t="str" cm="1">
        <f t="array" ref="N291">_xlfn.IFS(L291&gt;15000, "High", L291&gt;5000, "Medium", TRUE, "Low")</f>
        <v>Low</v>
      </c>
      <c r="O291" s="43">
        <f>(J291/(H291*I291))</f>
        <v>0.11291432604923385</v>
      </c>
      <c r="Q291" s="2"/>
      <c r="R291" s="2"/>
      <c r="S291" s="2"/>
      <c r="T291" s="2"/>
      <c r="U291" s="2"/>
      <c r="V291" s="2"/>
      <c r="W291" s="2"/>
      <c r="X291" s="2"/>
      <c r="Y291" s="2"/>
      <c r="Z291" s="2"/>
    </row>
    <row r="292" spans="1:26" ht="15" thickBot="1">
      <c r="A292" s="37" t="s">
        <v>459</v>
      </c>
      <c r="B292" s="37" t="s">
        <v>394</v>
      </c>
      <c r="C292" s="37" t="s">
        <v>373</v>
      </c>
      <c r="D292" s="37" t="s">
        <v>401</v>
      </c>
      <c r="E292" s="37">
        <v>9658575570</v>
      </c>
      <c r="F292" s="37" t="s">
        <v>379</v>
      </c>
      <c r="G292" s="37" t="s">
        <v>305</v>
      </c>
      <c r="H292" s="37">
        <v>1180.31</v>
      </c>
      <c r="I292" s="37">
        <v>7</v>
      </c>
      <c r="J292" s="37">
        <v>847.73</v>
      </c>
      <c r="K292" s="37" t="s">
        <v>262</v>
      </c>
      <c r="L292" s="37">
        <v>8262.17</v>
      </c>
      <c r="M292" s="38" t="s">
        <v>390</v>
      </c>
      <c r="N292" s="2" t="str" cm="1">
        <f t="array" ref="N292">_xlfn.IFS(L292&gt;15000, "High", L292&gt;5000, "Medium", TRUE, "Low")</f>
        <v>Medium</v>
      </c>
      <c r="O292" s="43">
        <f>(J292/(H292*I292))</f>
        <v>0.10260379537094977</v>
      </c>
      <c r="Q292" s="2"/>
      <c r="R292" s="2"/>
      <c r="S292" s="2"/>
      <c r="T292" s="2"/>
      <c r="U292" s="2"/>
      <c r="V292" s="2"/>
      <c r="W292" s="2"/>
      <c r="X292" s="2"/>
      <c r="Y292" s="2"/>
      <c r="Z292" s="2"/>
    </row>
    <row r="293" spans="1:26" ht="15" thickBot="1">
      <c r="A293" s="37" t="s">
        <v>460</v>
      </c>
      <c r="B293" s="37" t="s">
        <v>383</v>
      </c>
      <c r="C293" s="37" t="s">
        <v>373</v>
      </c>
      <c r="D293" s="37" t="s">
        <v>401</v>
      </c>
      <c r="E293" s="37">
        <v>9950273824</v>
      </c>
      <c r="F293" s="37" t="s">
        <v>379</v>
      </c>
      <c r="G293" s="37" t="s">
        <v>427</v>
      </c>
      <c r="H293" s="37">
        <v>653.35</v>
      </c>
      <c r="I293" s="37">
        <v>4</v>
      </c>
      <c r="J293" s="37">
        <v>345.46</v>
      </c>
      <c r="K293" s="37" t="s">
        <v>247</v>
      </c>
      <c r="L293" s="37">
        <v>2613.4</v>
      </c>
      <c r="M293" s="38" t="s">
        <v>386</v>
      </c>
      <c r="N293" s="2" t="str" cm="1">
        <f t="array" ref="N293">_xlfn.IFS(L293&gt;15000, "High", L293&gt;5000, "Medium", TRUE, "Low")</f>
        <v>Low</v>
      </c>
      <c r="O293" s="43">
        <f>(J293/(H293*I293))</f>
        <v>0.13218795438891864</v>
      </c>
      <c r="Q293" s="2"/>
      <c r="R293" s="2"/>
      <c r="S293" s="2"/>
      <c r="T293" s="2"/>
      <c r="U293" s="2"/>
      <c r="V293" s="2"/>
      <c r="W293" s="2"/>
      <c r="X293" s="2"/>
      <c r="Y293" s="2"/>
      <c r="Z293" s="2"/>
    </row>
    <row r="294" spans="1:26" ht="15" thickBot="1">
      <c r="A294" s="37" t="s">
        <v>461</v>
      </c>
      <c r="B294" s="37" t="s">
        <v>383</v>
      </c>
      <c r="C294" s="37" t="s">
        <v>373</v>
      </c>
      <c r="D294" s="37" t="s">
        <v>395</v>
      </c>
      <c r="E294" s="37">
        <v>9898816813</v>
      </c>
      <c r="F294" s="37" t="s">
        <v>245</v>
      </c>
      <c r="G294" s="37" t="s">
        <v>209</v>
      </c>
      <c r="H294" s="37">
        <v>1881.74</v>
      </c>
      <c r="I294" s="37">
        <v>4</v>
      </c>
      <c r="J294" s="37">
        <v>1363.83</v>
      </c>
      <c r="K294" s="37" t="s">
        <v>412</v>
      </c>
      <c r="L294" s="37">
        <v>7526.96</v>
      </c>
      <c r="M294" s="38" t="s">
        <v>390</v>
      </c>
      <c r="N294" s="2" t="str" cm="1">
        <f t="array" ref="N294">_xlfn.IFS(L294&gt;15000, "High", L294&gt;5000, "Medium", TRUE, "Low")</f>
        <v>Medium</v>
      </c>
      <c r="O294" s="43">
        <f>(J294/(H294*I294))</f>
        <v>0.18119267273906065</v>
      </c>
      <c r="Q294" s="2"/>
      <c r="R294" s="2"/>
      <c r="S294" s="2"/>
      <c r="T294" s="2"/>
      <c r="U294" s="2"/>
      <c r="V294" s="2"/>
      <c r="W294" s="2"/>
      <c r="X294" s="2"/>
      <c r="Y294" s="2"/>
      <c r="Z294" s="2"/>
    </row>
    <row r="295" spans="1:26" ht="15" thickBot="1">
      <c r="A295" s="37" t="s">
        <v>462</v>
      </c>
      <c r="B295" s="37" t="s">
        <v>406</v>
      </c>
      <c r="C295" s="37" t="s">
        <v>373</v>
      </c>
      <c r="D295" s="37" t="s">
        <v>403</v>
      </c>
      <c r="E295" s="37">
        <v>9571594565</v>
      </c>
      <c r="F295" s="37" t="s">
        <v>379</v>
      </c>
      <c r="G295" s="37" t="s">
        <v>380</v>
      </c>
      <c r="H295" s="37">
        <v>1206.3499999999999</v>
      </c>
      <c r="I295" s="37">
        <v>15</v>
      </c>
      <c r="J295" s="37">
        <v>2801.82</v>
      </c>
      <c r="K295" s="37" t="s">
        <v>262</v>
      </c>
      <c r="L295" s="37">
        <v>18095.25</v>
      </c>
      <c r="M295" s="38" t="s">
        <v>377</v>
      </c>
      <c r="N295" s="2" t="str" cm="1">
        <f t="array" ref="N295">_xlfn.IFS(L295&gt;15000, "High", L295&gt;5000, "Medium", TRUE, "Low")</f>
        <v>High</v>
      </c>
      <c r="O295" s="43">
        <f>(J295/(H295*I295))</f>
        <v>0.15483731918597424</v>
      </c>
      <c r="Q295" s="2"/>
      <c r="R295" s="2"/>
      <c r="S295" s="2"/>
      <c r="T295" s="2"/>
      <c r="U295" s="2"/>
      <c r="V295" s="2"/>
      <c r="W295" s="2"/>
      <c r="X295" s="2"/>
      <c r="Y295" s="2"/>
      <c r="Z295" s="2"/>
    </row>
    <row r="296" spans="1:26" ht="15" thickBot="1">
      <c r="A296" s="37" t="s">
        <v>463</v>
      </c>
      <c r="B296" s="37" t="s">
        <v>383</v>
      </c>
      <c r="C296" s="37" t="s">
        <v>373</v>
      </c>
      <c r="D296" s="37" t="s">
        <v>399</v>
      </c>
      <c r="E296" s="37">
        <v>9684352160</v>
      </c>
      <c r="F296" s="37" t="s">
        <v>375</v>
      </c>
      <c r="G296" s="37" t="s">
        <v>411</v>
      </c>
      <c r="H296" s="37">
        <v>1849.95</v>
      </c>
      <c r="I296" s="37">
        <v>5</v>
      </c>
      <c r="J296" s="37">
        <v>2111.02</v>
      </c>
      <c r="K296" s="37" t="s">
        <v>412</v>
      </c>
      <c r="L296" s="37">
        <v>9249.75</v>
      </c>
      <c r="M296" s="38" t="s">
        <v>390</v>
      </c>
      <c r="N296" s="2" t="str" cm="1">
        <f t="array" ref="N296">_xlfn.IFS(L296&gt;15000, "High", L296&gt;5000, "Medium", TRUE, "Low")</f>
        <v>Medium</v>
      </c>
      <c r="O296" s="43">
        <f>(J296/(H296*I296))</f>
        <v>0.22822454660936781</v>
      </c>
      <c r="Q296" s="2"/>
      <c r="R296" s="2"/>
      <c r="S296" s="2"/>
      <c r="T296" s="2"/>
      <c r="U296" s="2"/>
      <c r="V296" s="2"/>
      <c r="W296" s="2"/>
      <c r="X296" s="2"/>
      <c r="Y296" s="2"/>
      <c r="Z296" s="2"/>
    </row>
    <row r="297" spans="1:26" ht="15" thickBot="1">
      <c r="A297" s="37" t="s">
        <v>464</v>
      </c>
      <c r="B297" s="37" t="s">
        <v>372</v>
      </c>
      <c r="C297" s="37" t="s">
        <v>373</v>
      </c>
      <c r="D297" s="37" t="s">
        <v>384</v>
      </c>
      <c r="E297" s="37">
        <v>9845713875</v>
      </c>
      <c r="F297" s="37" t="s">
        <v>245</v>
      </c>
      <c r="G297" s="37" t="s">
        <v>301</v>
      </c>
      <c r="H297" s="37">
        <v>1896.1</v>
      </c>
      <c r="I297" s="37">
        <v>5</v>
      </c>
      <c r="J297" s="37">
        <v>2676.46</v>
      </c>
      <c r="K297" s="37" t="s">
        <v>412</v>
      </c>
      <c r="L297" s="37">
        <v>9480.5</v>
      </c>
      <c r="M297" s="38" t="s">
        <v>390</v>
      </c>
      <c r="N297" s="2" t="str" cm="1">
        <f t="array" ref="N297">_xlfn.IFS(L297&gt;15000, "High", L297&gt;5000, "Medium", TRUE, "Low")</f>
        <v>Medium</v>
      </c>
      <c r="O297" s="43">
        <f>(J297/(H297*I297))</f>
        <v>0.28231211433996095</v>
      </c>
      <c r="Q297" s="2"/>
      <c r="R297" s="2"/>
      <c r="S297" s="2"/>
      <c r="T297" s="2"/>
      <c r="U297" s="2"/>
      <c r="V297" s="2"/>
      <c r="W297" s="2"/>
      <c r="X297" s="2"/>
      <c r="Y297" s="2"/>
      <c r="Z297" s="2"/>
    </row>
    <row r="298" spans="1:26" ht="15" thickBot="1">
      <c r="A298" s="37" t="s">
        <v>465</v>
      </c>
      <c r="B298" s="37" t="s">
        <v>383</v>
      </c>
      <c r="C298" s="37" t="s">
        <v>373</v>
      </c>
      <c r="D298" s="37" t="s">
        <v>395</v>
      </c>
      <c r="E298" s="40">
        <v>85</v>
      </c>
      <c r="F298" s="37" t="s">
        <v>379</v>
      </c>
      <c r="G298" s="37" t="s">
        <v>305</v>
      </c>
      <c r="H298" s="37">
        <v>1799.6</v>
      </c>
      <c r="I298" s="37">
        <v>6</v>
      </c>
      <c r="J298" s="37">
        <v>1551.79</v>
      </c>
      <c r="K298" s="37" t="s">
        <v>389</v>
      </c>
      <c r="L298" s="37">
        <v>10797.6</v>
      </c>
      <c r="M298" s="38" t="s">
        <v>377</v>
      </c>
      <c r="N298" s="2" t="str" cm="1">
        <f t="array" ref="N298">_xlfn.IFS(L298&gt;15000, "High", L298&gt;5000, "Medium", TRUE, "Low")</f>
        <v>Medium</v>
      </c>
      <c r="O298" s="43">
        <f>(J298/(H298*I298))</f>
        <v>0.14371619619174633</v>
      </c>
      <c r="Q298" s="2"/>
      <c r="R298" s="2"/>
      <c r="S298" s="2"/>
      <c r="T298" s="2"/>
      <c r="U298" s="2"/>
      <c r="V298" s="2"/>
      <c r="W298" s="2"/>
      <c r="X298" s="2"/>
      <c r="Y298" s="2"/>
      <c r="Z298" s="2"/>
    </row>
    <row r="299" spans="1:26" ht="15" thickBot="1">
      <c r="A299" s="37" t="s">
        <v>466</v>
      </c>
      <c r="B299" s="37" t="s">
        <v>406</v>
      </c>
      <c r="C299" s="37" t="s">
        <v>373</v>
      </c>
      <c r="D299" s="37" t="s">
        <v>374</v>
      </c>
      <c r="E299" s="37">
        <v>9304184751</v>
      </c>
      <c r="F299" s="37" t="s">
        <v>379</v>
      </c>
      <c r="G299" s="37" t="s">
        <v>427</v>
      </c>
      <c r="H299" s="37">
        <v>1330.26</v>
      </c>
      <c r="I299" s="37">
        <v>2</v>
      </c>
      <c r="J299" s="37">
        <v>669.54</v>
      </c>
      <c r="K299" s="37" t="s">
        <v>247</v>
      </c>
      <c r="L299" s="37">
        <v>2660.52</v>
      </c>
      <c r="M299" s="38" t="s">
        <v>386</v>
      </c>
      <c r="N299" s="2" t="str" cm="1">
        <f t="array" ref="N299">_xlfn.IFS(L299&gt;15000, "High", L299&gt;5000, "Medium", TRUE, "Low")</f>
        <v>Low</v>
      </c>
      <c r="O299" s="43">
        <f>(J299/(H299*I299))</f>
        <v>0.25165757070046457</v>
      </c>
      <c r="Q299" s="2"/>
      <c r="R299" s="2"/>
      <c r="S299" s="2"/>
      <c r="T299" s="2"/>
      <c r="U299" s="2"/>
      <c r="V299" s="2"/>
      <c r="W299" s="2"/>
      <c r="X299" s="2"/>
      <c r="Y299" s="2"/>
      <c r="Z299" s="2"/>
    </row>
    <row r="300" spans="1:26" ht="15" thickBot="1">
      <c r="A300" s="37" t="s">
        <v>467</v>
      </c>
      <c r="B300" s="37" t="s">
        <v>406</v>
      </c>
      <c r="C300" s="37" t="s">
        <v>373</v>
      </c>
      <c r="D300" s="37" t="s">
        <v>403</v>
      </c>
      <c r="E300" s="37">
        <v>9141039856</v>
      </c>
      <c r="F300" s="37" t="s">
        <v>245</v>
      </c>
      <c r="G300" s="37" t="s">
        <v>268</v>
      </c>
      <c r="H300" s="37">
        <v>322.57</v>
      </c>
      <c r="I300" s="37">
        <v>13</v>
      </c>
      <c r="J300" s="37">
        <v>684.45</v>
      </c>
      <c r="K300" s="37" t="s">
        <v>412</v>
      </c>
      <c r="L300" s="37">
        <v>4193.41</v>
      </c>
      <c r="M300" s="38" t="s">
        <v>386</v>
      </c>
      <c r="N300" s="2" t="str" cm="1">
        <f t="array" ref="N300">_xlfn.IFS(L300&gt;15000, "High", L300&gt;5000, "Medium", TRUE, "Low")</f>
        <v>Low</v>
      </c>
      <c r="O300" s="43">
        <f>(J300/(H300*I300))</f>
        <v>0.16322038627274701</v>
      </c>
      <c r="Q300" s="2"/>
      <c r="R300" s="2"/>
      <c r="S300" s="2"/>
      <c r="T300" s="2"/>
      <c r="U300" s="2"/>
      <c r="V300" s="2"/>
      <c r="W300" s="2"/>
      <c r="X300" s="2"/>
      <c r="Y300" s="2"/>
      <c r="Z300" s="2"/>
    </row>
    <row r="301" spans="1:26" ht="15" thickBot="1">
      <c r="A301" s="37" t="s">
        <v>468</v>
      </c>
      <c r="B301" s="37" t="s">
        <v>394</v>
      </c>
      <c r="C301" s="37" t="s">
        <v>373</v>
      </c>
      <c r="D301" s="37" t="s">
        <v>395</v>
      </c>
      <c r="E301" s="37">
        <v>9640589740</v>
      </c>
      <c r="F301" s="37" t="s">
        <v>245</v>
      </c>
      <c r="G301" s="37" t="s">
        <v>301</v>
      </c>
      <c r="H301" s="37">
        <v>1510.41</v>
      </c>
      <c r="I301" s="37">
        <v>1</v>
      </c>
      <c r="J301" s="37">
        <v>434.79</v>
      </c>
      <c r="K301" s="37" t="s">
        <v>381</v>
      </c>
      <c r="L301" s="37">
        <v>1510.41</v>
      </c>
      <c r="M301" s="38" t="s">
        <v>386</v>
      </c>
      <c r="N301" s="2" t="str" cm="1">
        <f t="array" ref="N301">_xlfn.IFS(L301&gt;15000, "High", L301&gt;5000, "Medium", TRUE, "Low")</f>
        <v>Low</v>
      </c>
      <c r="O301" s="43">
        <f>(J301/(H301*I301))</f>
        <v>0.28786223608159373</v>
      </c>
      <c r="Q301" s="2"/>
      <c r="R301" s="2"/>
      <c r="S301" s="2"/>
      <c r="T301" s="2"/>
      <c r="U301" s="2"/>
      <c r="V301" s="2"/>
      <c r="W301" s="2"/>
      <c r="X301" s="2"/>
      <c r="Y301" s="2"/>
      <c r="Z301" s="2"/>
    </row>
    <row r="302" spans="1:26" ht="15" thickBot="1">
      <c r="A302" s="37" t="s">
        <v>469</v>
      </c>
      <c r="B302" s="37" t="s">
        <v>383</v>
      </c>
      <c r="C302" s="37" t="s">
        <v>373</v>
      </c>
      <c r="D302" s="37" t="s">
        <v>374</v>
      </c>
      <c r="E302" s="37">
        <v>9406517796</v>
      </c>
      <c r="F302" s="37" t="s">
        <v>375</v>
      </c>
      <c r="G302" s="37" t="s">
        <v>266</v>
      </c>
      <c r="H302" s="37">
        <v>1085.52</v>
      </c>
      <c r="I302" s="37">
        <v>4</v>
      </c>
      <c r="J302" s="37">
        <v>749.57</v>
      </c>
      <c r="K302" s="37" t="s">
        <v>247</v>
      </c>
      <c r="L302" s="37">
        <v>4342.08</v>
      </c>
      <c r="M302" s="38" t="s">
        <v>386</v>
      </c>
      <c r="N302" s="2" t="str" cm="1">
        <f t="array" ref="N302">_xlfn.IFS(L302&gt;15000, "High", L302&gt;5000, "Medium", TRUE, "Low")</f>
        <v>Low</v>
      </c>
      <c r="O302" s="43">
        <f>(J302/(H302*I302))</f>
        <v>0.17262924681258754</v>
      </c>
      <c r="Q302" s="2"/>
      <c r="R302" s="2"/>
      <c r="S302" s="2"/>
      <c r="T302" s="2"/>
      <c r="U302" s="2"/>
      <c r="V302" s="2"/>
      <c r="W302" s="2"/>
      <c r="X302" s="2"/>
      <c r="Y302" s="2"/>
      <c r="Z302" s="2"/>
    </row>
    <row r="303" spans="1:26" ht="15" thickBot="1">
      <c r="A303" s="37" t="s">
        <v>470</v>
      </c>
      <c r="B303" s="37" t="s">
        <v>383</v>
      </c>
      <c r="C303" s="37" t="s">
        <v>373</v>
      </c>
      <c r="D303" s="37" t="s">
        <v>399</v>
      </c>
      <c r="E303" s="37">
        <v>9606169051</v>
      </c>
      <c r="F303" s="37" t="s">
        <v>379</v>
      </c>
      <c r="G303" s="37" t="s">
        <v>380</v>
      </c>
      <c r="H303" s="37">
        <v>1441.79</v>
      </c>
      <c r="I303" s="37">
        <v>14</v>
      </c>
      <c r="J303" s="37">
        <v>3929.03</v>
      </c>
      <c r="K303" s="37" t="s">
        <v>412</v>
      </c>
      <c r="L303" s="37">
        <v>20185.060000000001</v>
      </c>
      <c r="M303" s="38" t="s">
        <v>377</v>
      </c>
      <c r="N303" s="2" t="str" cm="1">
        <f t="array" ref="N303">_xlfn.IFS(L303&gt;15000, "High", L303&gt;5000, "Medium", TRUE, "Low")</f>
        <v>High</v>
      </c>
      <c r="O303" s="43">
        <f>(J303/(H303*I303))</f>
        <v>0.19465039985018626</v>
      </c>
      <c r="Q303" s="2"/>
      <c r="R303" s="2"/>
      <c r="S303" s="2"/>
      <c r="T303" s="2"/>
      <c r="U303" s="2"/>
      <c r="V303" s="2"/>
      <c r="W303" s="2"/>
      <c r="X303" s="2"/>
      <c r="Y303" s="2"/>
      <c r="Z303" s="2"/>
    </row>
    <row r="304" spans="1:26" ht="15" thickBot="1">
      <c r="A304" s="37" t="s">
        <v>471</v>
      </c>
      <c r="B304" s="37" t="s">
        <v>406</v>
      </c>
      <c r="C304" s="37" t="s">
        <v>373</v>
      </c>
      <c r="D304" s="37" t="s">
        <v>403</v>
      </c>
      <c r="E304" s="37">
        <v>9350461925</v>
      </c>
      <c r="F304" s="37" t="s">
        <v>379</v>
      </c>
      <c r="G304" s="37" t="s">
        <v>427</v>
      </c>
      <c r="H304" s="37">
        <v>686.64</v>
      </c>
      <c r="I304" s="37">
        <v>8</v>
      </c>
      <c r="J304" s="37">
        <v>878.07</v>
      </c>
      <c r="K304" s="37" t="s">
        <v>247</v>
      </c>
      <c r="L304" s="37">
        <v>5493.12</v>
      </c>
      <c r="M304" s="38" t="s">
        <v>390</v>
      </c>
      <c r="N304" s="2" t="str" cm="1">
        <f t="array" ref="N304">_xlfn.IFS(L304&gt;15000, "High", L304&gt;5000, "Medium", TRUE, "Low")</f>
        <v>Medium</v>
      </c>
      <c r="O304" s="43">
        <f>(J304/(H304*I304))</f>
        <v>0.15984904753582665</v>
      </c>
      <c r="Q304" s="2"/>
      <c r="R304" s="2"/>
      <c r="S304" s="2"/>
      <c r="T304" s="2"/>
      <c r="U304" s="2"/>
      <c r="V304" s="2"/>
      <c r="W304" s="2"/>
      <c r="X304" s="2"/>
      <c r="Y304" s="2"/>
      <c r="Z304" s="2"/>
    </row>
    <row r="305" spans="1:26" ht="15" thickBot="1">
      <c r="A305" s="37" t="s">
        <v>472</v>
      </c>
      <c r="B305" s="37" t="s">
        <v>372</v>
      </c>
      <c r="C305" s="37" t="s">
        <v>373</v>
      </c>
      <c r="D305" s="37" t="s">
        <v>384</v>
      </c>
      <c r="E305" s="37">
        <v>9996467468</v>
      </c>
      <c r="F305" s="37" t="s">
        <v>375</v>
      </c>
      <c r="G305" s="37" t="s">
        <v>266</v>
      </c>
      <c r="H305" s="37">
        <v>2830.64</v>
      </c>
      <c r="I305" s="37">
        <v>6</v>
      </c>
      <c r="J305" s="37">
        <v>1830.75</v>
      </c>
      <c r="K305" s="37" t="s">
        <v>247</v>
      </c>
      <c r="L305" s="37">
        <v>16983.84</v>
      </c>
      <c r="M305" s="38" t="s">
        <v>377</v>
      </c>
      <c r="N305" s="2" t="str" cm="1">
        <f t="array" ref="N305">_xlfn.IFS(L305&gt;15000, "High", L305&gt;5000, "Medium", TRUE, "Low")</f>
        <v>High</v>
      </c>
      <c r="O305" s="43">
        <f>(J305/(H305*I305))</f>
        <v>0.10779364384026227</v>
      </c>
      <c r="Q305" s="2"/>
      <c r="R305" s="2"/>
      <c r="S305" s="2"/>
      <c r="T305" s="2"/>
      <c r="U305" s="2"/>
      <c r="V305" s="2"/>
      <c r="W305" s="2"/>
      <c r="X305" s="2"/>
      <c r="Y305" s="2"/>
      <c r="Z305" s="2"/>
    </row>
    <row r="306" spans="1:26" ht="15" thickBot="1">
      <c r="A306" s="37" t="s">
        <v>473</v>
      </c>
      <c r="B306" s="37" t="s">
        <v>372</v>
      </c>
      <c r="C306" s="37" t="s">
        <v>373</v>
      </c>
      <c r="D306" s="37" t="s">
        <v>403</v>
      </c>
      <c r="E306" s="37">
        <v>9128345710</v>
      </c>
      <c r="F306" s="37" t="s">
        <v>245</v>
      </c>
      <c r="G306" s="37" t="s">
        <v>223</v>
      </c>
      <c r="H306" s="37">
        <v>2619.08</v>
      </c>
      <c r="I306" s="37">
        <v>6</v>
      </c>
      <c r="J306" s="37">
        <v>4245.2299999999996</v>
      </c>
      <c r="K306" s="37" t="s">
        <v>381</v>
      </c>
      <c r="L306" s="37">
        <v>15714.48</v>
      </c>
      <c r="M306" s="38" t="s">
        <v>377</v>
      </c>
      <c r="N306" s="2" t="str" cm="1">
        <f t="array" ref="N306">_xlfn.IFS(L306&gt;15000, "High", L306&gt;5000, "Medium", TRUE, "Low")</f>
        <v>High</v>
      </c>
      <c r="O306" s="43">
        <f>(J306/(H306*I306))</f>
        <v>0.27014765999256735</v>
      </c>
      <c r="Q306" s="2"/>
      <c r="R306" s="2"/>
      <c r="S306" s="2"/>
      <c r="T306" s="2"/>
      <c r="U306" s="2"/>
      <c r="V306" s="2"/>
      <c r="W306" s="2"/>
      <c r="X306" s="2"/>
      <c r="Y306" s="2"/>
      <c r="Z306" s="2"/>
    </row>
    <row r="307" spans="1:26" ht="15" thickBot="1">
      <c r="A307" s="37" t="s">
        <v>474</v>
      </c>
      <c r="B307" s="37" t="s">
        <v>394</v>
      </c>
      <c r="C307" s="37" t="s">
        <v>373</v>
      </c>
      <c r="D307" s="37" t="s">
        <v>401</v>
      </c>
      <c r="E307" s="37">
        <v>9392055351</v>
      </c>
      <c r="F307" s="37" t="s">
        <v>375</v>
      </c>
      <c r="G307" s="37" t="s">
        <v>259</v>
      </c>
      <c r="H307" s="37">
        <v>503.93</v>
      </c>
      <c r="I307" s="37">
        <v>11</v>
      </c>
      <c r="J307" s="37">
        <v>1183.48</v>
      </c>
      <c r="K307" s="37" t="s">
        <v>389</v>
      </c>
      <c r="L307" s="37">
        <v>5543.23</v>
      </c>
      <c r="M307" s="38" t="s">
        <v>390</v>
      </c>
      <c r="N307" s="2" t="str" cm="1">
        <f t="array" ref="N307">_xlfn.IFS(L307&gt;15000, "High", L307&gt;5000, "Medium", TRUE, "Low")</f>
        <v>Medium</v>
      </c>
      <c r="O307" s="43">
        <f>(J307/(H307*I307))</f>
        <v>0.2135000712580932</v>
      </c>
      <c r="Q307" s="2"/>
      <c r="R307" s="2"/>
      <c r="S307" s="2"/>
      <c r="T307" s="2"/>
      <c r="U307" s="2"/>
      <c r="V307" s="2"/>
      <c r="W307" s="2"/>
      <c r="X307" s="2"/>
      <c r="Y307" s="2"/>
      <c r="Z307" s="2"/>
    </row>
    <row r="308" spans="1:26" ht="15" thickBot="1">
      <c r="A308" s="37" t="s">
        <v>475</v>
      </c>
      <c r="B308" s="37" t="s">
        <v>383</v>
      </c>
      <c r="C308" s="37" t="s">
        <v>373</v>
      </c>
      <c r="D308" s="37" t="s">
        <v>395</v>
      </c>
      <c r="E308" s="37">
        <v>9980141994</v>
      </c>
      <c r="F308" s="37" t="s">
        <v>379</v>
      </c>
      <c r="G308" s="37" t="s">
        <v>305</v>
      </c>
      <c r="H308" s="37">
        <v>467.71</v>
      </c>
      <c r="I308" s="37">
        <v>12</v>
      </c>
      <c r="J308" s="37">
        <v>1223.23</v>
      </c>
      <c r="K308" s="37" t="s">
        <v>247</v>
      </c>
      <c r="L308" s="37">
        <v>5612.52</v>
      </c>
      <c r="M308" s="38" t="s">
        <v>390</v>
      </c>
      <c r="N308" s="2" t="str" cm="1">
        <f t="array" ref="N308">_xlfn.IFS(L308&gt;15000, "High", L308&gt;5000, "Medium", TRUE, "Low")</f>
        <v>Medium</v>
      </c>
      <c r="O308" s="43">
        <f>(J308/(H308*I308))</f>
        <v>0.21794666210543573</v>
      </c>
      <c r="Q308" s="2"/>
      <c r="R308" s="2"/>
      <c r="S308" s="2"/>
      <c r="T308" s="2"/>
      <c r="U308" s="2"/>
      <c r="V308" s="2"/>
      <c r="W308" s="2"/>
      <c r="X308" s="2"/>
      <c r="Y308" s="2"/>
      <c r="Z308" s="2"/>
    </row>
    <row r="309" spans="1:26" ht="15" thickBot="1">
      <c r="A309" s="37" t="s">
        <v>476</v>
      </c>
      <c r="B309" s="37" t="s">
        <v>372</v>
      </c>
      <c r="C309" s="37" t="s">
        <v>373</v>
      </c>
      <c r="D309" s="37" t="s">
        <v>399</v>
      </c>
      <c r="E309" s="37">
        <v>9403999543</v>
      </c>
      <c r="F309" s="37" t="s">
        <v>379</v>
      </c>
      <c r="G309" s="37" t="s">
        <v>397</v>
      </c>
      <c r="H309" s="37">
        <v>2307.34</v>
      </c>
      <c r="I309" s="37">
        <v>14</v>
      </c>
      <c r="J309" s="37">
        <v>3571.15</v>
      </c>
      <c r="K309" s="37" t="s">
        <v>412</v>
      </c>
      <c r="L309" s="37">
        <v>32302.76</v>
      </c>
      <c r="M309" s="38" t="s">
        <v>377</v>
      </c>
      <c r="N309" s="2" t="str" cm="1">
        <f t="array" ref="N309">_xlfn.IFS(L309&gt;15000, "High", L309&gt;5000, "Medium", TRUE, "Low")</f>
        <v>High</v>
      </c>
      <c r="O309" s="43">
        <f>(J309/(H309*I309))</f>
        <v>0.11055247291562702</v>
      </c>
      <c r="Q309" s="2"/>
      <c r="R309" s="2"/>
      <c r="S309" s="2"/>
      <c r="T309" s="2"/>
      <c r="U309" s="2"/>
      <c r="V309" s="2"/>
      <c r="W309" s="2"/>
      <c r="X309" s="2"/>
      <c r="Y309" s="2"/>
      <c r="Z309" s="2"/>
    </row>
    <row r="310" spans="1:26" ht="15" thickBot="1">
      <c r="A310" s="37" t="s">
        <v>477</v>
      </c>
      <c r="B310" s="37" t="s">
        <v>406</v>
      </c>
      <c r="C310" s="37" t="s">
        <v>373</v>
      </c>
      <c r="D310" s="37" t="s">
        <v>414</v>
      </c>
      <c r="E310" s="37">
        <v>9164427200</v>
      </c>
      <c r="F310" s="37" t="s">
        <v>245</v>
      </c>
      <c r="G310" s="37" t="s">
        <v>301</v>
      </c>
      <c r="H310" s="37">
        <v>1513.57</v>
      </c>
      <c r="I310" s="37">
        <v>14</v>
      </c>
      <c r="J310" s="39">
        <v>5761.18</v>
      </c>
      <c r="K310" s="37" t="s">
        <v>247</v>
      </c>
      <c r="L310" s="37">
        <v>21189.98</v>
      </c>
      <c r="M310" s="38" t="s">
        <v>377</v>
      </c>
      <c r="N310" s="2" t="str" cm="1">
        <f t="array" ref="N310">_xlfn.IFS(L310&gt;15000, "High", L310&gt;5000, "Medium", TRUE, "Low")</f>
        <v>High</v>
      </c>
      <c r="O310" s="43">
        <f>(J310/(H310*I310))</f>
        <v>0.27188227643442797</v>
      </c>
      <c r="Q310" s="2"/>
      <c r="R310" s="2"/>
      <c r="S310" s="2"/>
      <c r="T310" s="2"/>
      <c r="U310" s="2"/>
      <c r="V310" s="2"/>
      <c r="W310" s="2"/>
      <c r="X310" s="2"/>
      <c r="Y310" s="2"/>
      <c r="Z310" s="2"/>
    </row>
    <row r="311" spans="1:26" ht="15" thickBot="1">
      <c r="A311" s="37" t="s">
        <v>478</v>
      </c>
      <c r="B311" s="37" t="s">
        <v>406</v>
      </c>
      <c r="C311" s="37" t="s">
        <v>373</v>
      </c>
      <c r="D311" s="37" t="s">
        <v>399</v>
      </c>
      <c r="E311" s="40">
        <v>858947</v>
      </c>
      <c r="F311" s="37" t="s">
        <v>379</v>
      </c>
      <c r="G311" s="37" t="s">
        <v>427</v>
      </c>
      <c r="H311" s="37">
        <v>2213.4499999999998</v>
      </c>
      <c r="I311" s="37">
        <v>3</v>
      </c>
      <c r="J311" s="37">
        <v>867.33</v>
      </c>
      <c r="K311" s="37" t="s">
        <v>412</v>
      </c>
      <c r="L311" s="37">
        <v>6640.35</v>
      </c>
      <c r="M311" s="38" t="s">
        <v>390</v>
      </c>
      <c r="N311" s="2" t="str" cm="1">
        <f t="array" ref="N311">_xlfn.IFS(L311&gt;15000, "High", L311&gt;5000, "Medium", TRUE, "Low")</f>
        <v>Medium</v>
      </c>
      <c r="O311" s="43">
        <f>(J311/(H311*I311))</f>
        <v>0.13061510311956451</v>
      </c>
      <c r="Q311" s="2"/>
      <c r="R311" s="2"/>
      <c r="S311" s="2"/>
      <c r="T311" s="2"/>
      <c r="U311" s="2"/>
      <c r="V311" s="2"/>
      <c r="W311" s="2"/>
      <c r="X311" s="2"/>
      <c r="Y311" s="2"/>
      <c r="Z311" s="2"/>
    </row>
    <row r="312" spans="1:26" ht="15" thickBot="1">
      <c r="A312" s="37" t="s">
        <v>479</v>
      </c>
      <c r="B312" s="37" t="s">
        <v>383</v>
      </c>
      <c r="C312" s="37" t="s">
        <v>373</v>
      </c>
      <c r="D312" s="37" t="s">
        <v>395</v>
      </c>
      <c r="E312" s="37">
        <v>9789825611</v>
      </c>
      <c r="F312" s="37" t="s">
        <v>375</v>
      </c>
      <c r="G312" s="37" t="s">
        <v>266</v>
      </c>
      <c r="H312" s="37">
        <v>384.21</v>
      </c>
      <c r="I312" s="37">
        <v>5</v>
      </c>
      <c r="J312" s="37">
        <v>354.16</v>
      </c>
      <c r="K312" s="37" t="s">
        <v>412</v>
      </c>
      <c r="L312" s="37">
        <v>1921.05</v>
      </c>
      <c r="M312" s="38" t="s">
        <v>386</v>
      </c>
      <c r="N312" s="2" t="str" cm="1">
        <f t="array" ref="N312">_xlfn.IFS(L312&gt;15000, "High", L312&gt;5000, "Medium", TRUE, "Low")</f>
        <v>Low</v>
      </c>
      <c r="O312" s="43">
        <f>(J312/(H312*I312))</f>
        <v>0.18435751281851073</v>
      </c>
      <c r="Q312" s="2"/>
      <c r="R312" s="2"/>
      <c r="S312" s="2"/>
      <c r="T312" s="2"/>
      <c r="U312" s="2"/>
      <c r="V312" s="2"/>
      <c r="W312" s="2"/>
      <c r="X312" s="2"/>
      <c r="Y312" s="2"/>
      <c r="Z312" s="2"/>
    </row>
    <row r="313" spans="1:26" ht="15" thickBot="1">
      <c r="A313" s="37" t="s">
        <v>480</v>
      </c>
      <c r="B313" s="37" t="s">
        <v>394</v>
      </c>
      <c r="C313" s="37" t="s">
        <v>373</v>
      </c>
      <c r="D313" s="37" t="s">
        <v>399</v>
      </c>
      <c r="E313" s="37">
        <v>9371462183</v>
      </c>
      <c r="F313" s="37" t="s">
        <v>245</v>
      </c>
      <c r="G313" s="37" t="s">
        <v>223</v>
      </c>
      <c r="H313" s="37">
        <v>498.41</v>
      </c>
      <c r="I313" s="37">
        <v>7</v>
      </c>
      <c r="J313" s="37">
        <v>435.36</v>
      </c>
      <c r="K313" s="37" t="s">
        <v>262</v>
      </c>
      <c r="L313" s="37">
        <v>3488.87</v>
      </c>
      <c r="M313" s="38" t="s">
        <v>386</v>
      </c>
      <c r="N313" s="2" t="str" cm="1">
        <f t="array" ref="N313">_xlfn.IFS(L313&gt;15000, "High", L313&gt;5000, "Medium", TRUE, "Low")</f>
        <v>Low</v>
      </c>
      <c r="O313" s="43">
        <f>(J313/(H313*I313))</f>
        <v>0.12478538896548165</v>
      </c>
      <c r="Q313" s="2"/>
      <c r="R313" s="2"/>
      <c r="S313" s="2"/>
      <c r="T313" s="2"/>
      <c r="U313" s="2"/>
      <c r="V313" s="2"/>
      <c r="W313" s="2"/>
      <c r="X313" s="2"/>
      <c r="Y313" s="2"/>
      <c r="Z313" s="2"/>
    </row>
    <row r="314" spans="1:26" ht="15" thickBot="1">
      <c r="A314" s="37" t="s">
        <v>481</v>
      </c>
      <c r="B314" s="37" t="s">
        <v>406</v>
      </c>
      <c r="C314" s="37" t="s">
        <v>373</v>
      </c>
      <c r="D314" s="37" t="s">
        <v>399</v>
      </c>
      <c r="E314" s="37">
        <v>9444893207</v>
      </c>
      <c r="F314" s="37" t="s">
        <v>375</v>
      </c>
      <c r="G314" s="37" t="s">
        <v>266</v>
      </c>
      <c r="H314" s="37">
        <v>1599.24</v>
      </c>
      <c r="I314" s="37">
        <v>10</v>
      </c>
      <c r="J314" s="37">
        <v>4368.75</v>
      </c>
      <c r="K314" s="37" t="s">
        <v>262</v>
      </c>
      <c r="L314" s="37">
        <v>15992.4</v>
      </c>
      <c r="M314" s="38" t="s">
        <v>377</v>
      </c>
      <c r="N314" s="2" t="str" cm="1">
        <f t="array" ref="N314">_xlfn.IFS(L314&gt;15000, "High", L314&gt;5000, "Medium", TRUE, "Low")</f>
        <v>High</v>
      </c>
      <c r="O314" s="43">
        <f>(J314/(H314*I314))</f>
        <v>0.27317663390110303</v>
      </c>
      <c r="Q314" s="2"/>
      <c r="R314" s="2"/>
      <c r="S314" s="2"/>
      <c r="T314" s="2"/>
      <c r="U314" s="2"/>
      <c r="V314" s="2"/>
      <c r="W314" s="2"/>
      <c r="X314" s="2"/>
      <c r="Y314" s="2"/>
      <c r="Z314" s="2"/>
    </row>
    <row r="315" spans="1:26" ht="15" thickBot="1">
      <c r="A315" s="37" t="s">
        <v>482</v>
      </c>
      <c r="B315" s="37" t="s">
        <v>372</v>
      </c>
      <c r="C315" s="37" t="s">
        <v>373</v>
      </c>
      <c r="D315" s="37" t="s">
        <v>403</v>
      </c>
      <c r="E315" s="37">
        <v>9339358166</v>
      </c>
      <c r="F315" s="37" t="s">
        <v>379</v>
      </c>
      <c r="G315" s="37" t="s">
        <v>388</v>
      </c>
      <c r="H315" s="37">
        <v>962.07</v>
      </c>
      <c r="I315" s="37">
        <v>9</v>
      </c>
      <c r="J315" s="37">
        <v>905.89</v>
      </c>
      <c r="K315" s="37" t="s">
        <v>262</v>
      </c>
      <c r="L315" s="37">
        <v>8658.6299999999992</v>
      </c>
      <c r="M315" s="38" t="s">
        <v>390</v>
      </c>
      <c r="N315" s="2" t="str" cm="1">
        <f t="array" ref="N315">_xlfn.IFS(L315&gt;15000, "High", L315&gt;5000, "Medium", TRUE, "Low")</f>
        <v>Medium</v>
      </c>
      <c r="O315" s="43">
        <f>(J315/(H315*I315))</f>
        <v>0.10462278674570918</v>
      </c>
      <c r="Q315" s="2"/>
      <c r="R315" s="2"/>
      <c r="S315" s="2"/>
      <c r="T315" s="2"/>
      <c r="U315" s="2"/>
      <c r="V315" s="2"/>
      <c r="W315" s="2"/>
      <c r="X315" s="2"/>
      <c r="Y315" s="2"/>
      <c r="Z315" s="2"/>
    </row>
    <row r="316" spans="1:26" ht="15" thickBot="1">
      <c r="A316" s="37" t="s">
        <v>483</v>
      </c>
      <c r="B316" s="37" t="s">
        <v>372</v>
      </c>
      <c r="C316" s="37" t="s">
        <v>373</v>
      </c>
      <c r="D316" s="37" t="s">
        <v>384</v>
      </c>
      <c r="E316" s="37">
        <v>9119201960</v>
      </c>
      <c r="F316" s="37" t="s">
        <v>379</v>
      </c>
      <c r="G316" s="37" t="s">
        <v>305</v>
      </c>
      <c r="H316" s="37">
        <v>1673.22</v>
      </c>
      <c r="I316" s="37">
        <v>7</v>
      </c>
      <c r="J316" s="37">
        <v>1935.04</v>
      </c>
      <c r="K316" s="37" t="s">
        <v>412</v>
      </c>
      <c r="L316" s="37">
        <v>11712.54</v>
      </c>
      <c r="M316" s="38" t="s">
        <v>377</v>
      </c>
      <c r="N316" s="2" t="str" cm="1">
        <f t="array" ref="N316">_xlfn.IFS(L316&gt;15000, "High", L316&gt;5000, "Medium", TRUE, "Low")</f>
        <v>Medium</v>
      </c>
      <c r="O316" s="43">
        <f>(J316/(H316*I316))</f>
        <v>0.16521096192627729</v>
      </c>
      <c r="Q316" s="2"/>
      <c r="R316" s="2"/>
      <c r="S316" s="2"/>
      <c r="T316" s="2"/>
      <c r="U316" s="2"/>
      <c r="V316" s="2"/>
      <c r="W316" s="2"/>
      <c r="X316" s="2"/>
      <c r="Y316" s="2"/>
      <c r="Z316" s="2"/>
    </row>
    <row r="317" spans="1:26" ht="15" thickBot="1">
      <c r="A317" s="37" t="s">
        <v>484</v>
      </c>
      <c r="B317" s="37" t="s">
        <v>372</v>
      </c>
      <c r="C317" s="37" t="s">
        <v>373</v>
      </c>
      <c r="D317" s="37" t="s">
        <v>395</v>
      </c>
      <c r="E317" s="37">
        <v>9161700373</v>
      </c>
      <c r="F317" s="37" t="s">
        <v>375</v>
      </c>
      <c r="G317" s="37" t="s">
        <v>385</v>
      </c>
      <c r="H317" s="37">
        <v>791.24</v>
      </c>
      <c r="I317" s="37">
        <v>4</v>
      </c>
      <c r="J317" s="37">
        <v>366.17</v>
      </c>
      <c r="K317" s="37" t="s">
        <v>262</v>
      </c>
      <c r="L317" s="37">
        <v>3164.96</v>
      </c>
      <c r="M317" s="38" t="s">
        <v>386</v>
      </c>
      <c r="N317" s="2" t="str" cm="1">
        <f t="array" ref="N317">_xlfn.IFS(L317&gt;15000, "High", L317&gt;5000, "Medium", TRUE, "Low")</f>
        <v>Low</v>
      </c>
      <c r="O317" s="43">
        <f>(J317/(H317*I317))</f>
        <v>0.11569498508669936</v>
      </c>
      <c r="Q317" s="2"/>
      <c r="R317" s="2"/>
      <c r="S317" s="2"/>
      <c r="T317" s="2"/>
      <c r="U317" s="2"/>
      <c r="V317" s="2"/>
      <c r="W317" s="2"/>
      <c r="X317" s="2"/>
      <c r="Y317" s="2"/>
      <c r="Z317" s="2"/>
    </row>
    <row r="318" spans="1:26" ht="15" thickBot="1">
      <c r="A318" s="37" t="s">
        <v>485</v>
      </c>
      <c r="B318" s="37" t="s">
        <v>383</v>
      </c>
      <c r="C318" s="37" t="s">
        <v>373</v>
      </c>
      <c r="D318" s="37" t="s">
        <v>414</v>
      </c>
      <c r="E318" s="37">
        <v>9242580997</v>
      </c>
      <c r="F318" s="37" t="s">
        <v>375</v>
      </c>
      <c r="G318" s="37" t="s">
        <v>259</v>
      </c>
      <c r="H318" s="37">
        <v>1210.8599999999999</v>
      </c>
      <c r="I318" s="37">
        <v>3</v>
      </c>
      <c r="J318" s="37">
        <v>698.75</v>
      </c>
      <c r="K318" s="37" t="s">
        <v>262</v>
      </c>
      <c r="L318" s="37">
        <v>3632.58</v>
      </c>
      <c r="M318" s="38" t="s">
        <v>386</v>
      </c>
      <c r="N318" s="2" t="str" cm="1">
        <f t="array" ref="N318">_xlfn.IFS(L318&gt;15000, "High", L318&gt;5000, "Medium", TRUE, "Low")</f>
        <v>Low</v>
      </c>
      <c r="O318" s="43">
        <f>(J318/(H318*I318))</f>
        <v>0.19235639683090255</v>
      </c>
      <c r="Q318" s="2"/>
      <c r="R318" s="2"/>
      <c r="S318" s="2"/>
      <c r="T318" s="2"/>
      <c r="U318" s="2"/>
      <c r="V318" s="2"/>
      <c r="W318" s="2"/>
      <c r="X318" s="2"/>
      <c r="Y318" s="2"/>
      <c r="Z318" s="2"/>
    </row>
    <row r="319" spans="1:26" ht="15" thickBot="1">
      <c r="A319" s="37" t="s">
        <v>486</v>
      </c>
      <c r="B319" s="37" t="s">
        <v>406</v>
      </c>
      <c r="C319" s="37" t="s">
        <v>373</v>
      </c>
      <c r="D319" s="37" t="s">
        <v>401</v>
      </c>
      <c r="E319" s="37">
        <v>9370714466</v>
      </c>
      <c r="F319" s="37" t="s">
        <v>375</v>
      </c>
      <c r="G319" s="37" t="s">
        <v>385</v>
      </c>
      <c r="H319" s="37">
        <v>619.57000000000005</v>
      </c>
      <c r="I319" s="37">
        <v>7</v>
      </c>
      <c r="J319" s="37">
        <v>562.75</v>
      </c>
      <c r="K319" s="37" t="s">
        <v>262</v>
      </c>
      <c r="L319" s="37">
        <v>4336.99</v>
      </c>
      <c r="M319" s="38" t="s">
        <v>386</v>
      </c>
      <c r="N319" s="2" t="str" cm="1">
        <f t="array" ref="N319">_xlfn.IFS(L319&gt;15000, "High", L319&gt;5000, "Medium", TRUE, "Low")</f>
        <v>Low</v>
      </c>
      <c r="O319" s="43">
        <f>(J319/(H319*I319))</f>
        <v>0.12975589060615772</v>
      </c>
      <c r="Q319" s="2"/>
      <c r="R319" s="2"/>
      <c r="S319" s="2"/>
      <c r="T319" s="2"/>
      <c r="U319" s="2"/>
      <c r="V319" s="2"/>
      <c r="W319" s="2"/>
      <c r="X319" s="2"/>
      <c r="Y319" s="2"/>
      <c r="Z319" s="2"/>
    </row>
    <row r="320" spans="1:26" ht="15" thickBot="1">
      <c r="A320" s="37" t="s">
        <v>487</v>
      </c>
      <c r="B320" s="37" t="s">
        <v>372</v>
      </c>
      <c r="C320" s="37" t="s">
        <v>373</v>
      </c>
      <c r="D320" s="37" t="s">
        <v>399</v>
      </c>
      <c r="E320" s="37">
        <v>9427647839</v>
      </c>
      <c r="F320" s="37" t="s">
        <v>245</v>
      </c>
      <c r="G320" s="37" t="s">
        <v>215</v>
      </c>
      <c r="H320" s="37">
        <v>308.5</v>
      </c>
      <c r="I320" s="37">
        <v>15</v>
      </c>
      <c r="J320" s="37">
        <v>802.96</v>
      </c>
      <c r="K320" s="37" t="s">
        <v>247</v>
      </c>
      <c r="L320" s="37">
        <v>4627.5</v>
      </c>
      <c r="M320" s="38" t="s">
        <v>386</v>
      </c>
      <c r="N320" s="2" t="str" cm="1">
        <f t="array" ref="N320">_xlfn.IFS(L320&gt;15000, "High", L320&gt;5000, "Medium", TRUE, "Low")</f>
        <v>Low</v>
      </c>
      <c r="O320" s="43">
        <f>(J320/(H320*I320))</f>
        <v>0.17351917882225826</v>
      </c>
      <c r="Q320" s="2"/>
      <c r="R320" s="2"/>
      <c r="S320" s="2"/>
      <c r="T320" s="2"/>
      <c r="U320" s="2"/>
      <c r="V320" s="2"/>
      <c r="W320" s="2"/>
      <c r="X320" s="2"/>
      <c r="Y320" s="2"/>
      <c r="Z320" s="2"/>
    </row>
    <row r="321" spans="1:26" ht="15" thickBot="1">
      <c r="A321" s="37" t="s">
        <v>488</v>
      </c>
      <c r="B321" s="37" t="s">
        <v>394</v>
      </c>
      <c r="C321" s="37" t="s">
        <v>373</v>
      </c>
      <c r="D321" s="37" t="s">
        <v>399</v>
      </c>
      <c r="E321" s="37">
        <v>9942075195</v>
      </c>
      <c r="F321" s="37" t="s">
        <v>375</v>
      </c>
      <c r="G321" s="37" t="s">
        <v>266</v>
      </c>
      <c r="H321" s="37">
        <v>1853.37</v>
      </c>
      <c r="I321" s="37">
        <v>5</v>
      </c>
      <c r="J321" s="37">
        <v>1661.2</v>
      </c>
      <c r="K321" s="37" t="s">
        <v>247</v>
      </c>
      <c r="L321" s="37">
        <v>9266.85</v>
      </c>
      <c r="M321" s="38" t="s">
        <v>390</v>
      </c>
      <c r="N321" s="2" t="str" cm="1">
        <f t="array" ref="N321">_xlfn.IFS(L321&gt;15000, "High", L321&gt;5000, "Medium", TRUE, "Low")</f>
        <v>Medium</v>
      </c>
      <c r="O321" s="43">
        <f>(J321/(H321*I321))</f>
        <v>0.17926264048732851</v>
      </c>
      <c r="Q321" s="2"/>
      <c r="R321" s="2"/>
      <c r="S321" s="2"/>
      <c r="T321" s="2"/>
      <c r="U321" s="2"/>
      <c r="V321" s="2"/>
      <c r="W321" s="2"/>
      <c r="X321" s="2"/>
      <c r="Y321" s="2"/>
      <c r="Z321" s="2"/>
    </row>
    <row r="322" spans="1:26" ht="15" thickBot="1">
      <c r="A322" s="37" t="s">
        <v>489</v>
      </c>
      <c r="B322" s="37" t="s">
        <v>383</v>
      </c>
      <c r="C322" s="37" t="s">
        <v>373</v>
      </c>
      <c r="D322" s="37" t="s">
        <v>403</v>
      </c>
      <c r="E322" s="37">
        <v>9857569233</v>
      </c>
      <c r="F322" s="37" t="s">
        <v>375</v>
      </c>
      <c r="G322" s="37" t="s">
        <v>411</v>
      </c>
      <c r="H322" s="37">
        <v>2501.48</v>
      </c>
      <c r="I322" s="37">
        <v>6</v>
      </c>
      <c r="J322" s="37">
        <v>4142.5200000000004</v>
      </c>
      <c r="K322" s="37" t="s">
        <v>381</v>
      </c>
      <c r="L322" s="37">
        <v>15008.88</v>
      </c>
      <c r="M322" s="38" t="s">
        <v>377</v>
      </c>
      <c r="N322" s="2" t="str" cm="1">
        <f t="array" ref="N322">_xlfn.IFS(L322&gt;15000, "High", L322&gt;5000, "Medium", TRUE, "Low")</f>
        <v>High</v>
      </c>
      <c r="O322" s="43">
        <f>(J322/(H322*I322))</f>
        <v>0.27600460527367798</v>
      </c>
      <c r="Q322" s="2"/>
      <c r="R322" s="2"/>
      <c r="S322" s="2"/>
      <c r="T322" s="2"/>
      <c r="U322" s="2"/>
      <c r="V322" s="2"/>
      <c r="W322" s="2"/>
      <c r="X322" s="2"/>
      <c r="Y322" s="2"/>
      <c r="Z322" s="2"/>
    </row>
    <row r="323" spans="1:26" ht="15" thickBot="1">
      <c r="A323" s="37" t="s">
        <v>490</v>
      </c>
      <c r="B323" s="37" t="s">
        <v>383</v>
      </c>
      <c r="C323" s="37" t="s">
        <v>373</v>
      </c>
      <c r="D323" s="37" t="s">
        <v>374</v>
      </c>
      <c r="E323" s="37">
        <v>9944969047</v>
      </c>
      <c r="F323" s="37" t="s">
        <v>245</v>
      </c>
      <c r="G323" s="37" t="s">
        <v>209</v>
      </c>
      <c r="H323" s="37">
        <v>2596.13</v>
      </c>
      <c r="I323" s="37">
        <v>5</v>
      </c>
      <c r="J323" s="37">
        <v>1453.33</v>
      </c>
      <c r="K323" s="37" t="s">
        <v>381</v>
      </c>
      <c r="L323" s="37">
        <v>12980.65</v>
      </c>
      <c r="M323" s="38" t="s">
        <v>377</v>
      </c>
      <c r="N323" s="2" t="str" cm="1">
        <f t="array" ref="N323">_xlfn.IFS(L323&gt;15000, "High", L323&gt;5000, "Medium", TRUE, "Low")</f>
        <v>Medium</v>
      </c>
      <c r="O323" s="43">
        <f>(J323/(H323*I323))</f>
        <v>0.11196126542199349</v>
      </c>
      <c r="Q323" s="2"/>
      <c r="R323" s="2"/>
      <c r="S323" s="2"/>
      <c r="T323" s="2"/>
      <c r="U323" s="2"/>
      <c r="V323" s="2"/>
      <c r="W323" s="2"/>
      <c r="X323" s="2"/>
      <c r="Y323" s="2"/>
      <c r="Z323" s="2"/>
    </row>
    <row r="324" spans="1:26" ht="15" thickBot="1">
      <c r="A324" s="37" t="s">
        <v>491</v>
      </c>
      <c r="B324" s="37" t="s">
        <v>372</v>
      </c>
      <c r="C324" s="37" t="s">
        <v>373</v>
      </c>
      <c r="D324" s="37" t="s">
        <v>384</v>
      </c>
      <c r="E324" s="40">
        <v>56428436</v>
      </c>
      <c r="F324" s="37" t="s">
        <v>245</v>
      </c>
      <c r="G324" s="37" t="s">
        <v>223</v>
      </c>
      <c r="H324" s="37">
        <v>2209.52</v>
      </c>
      <c r="I324" s="37">
        <v>6</v>
      </c>
      <c r="J324" s="37">
        <v>3760.49</v>
      </c>
      <c r="K324" s="37" t="s">
        <v>381</v>
      </c>
      <c r="L324" s="37">
        <v>13257.12</v>
      </c>
      <c r="M324" s="38" t="s">
        <v>377</v>
      </c>
      <c r="N324" s="2" t="str" cm="1">
        <f t="array" ref="N324">_xlfn.IFS(L324&gt;15000, "High", L324&gt;5000, "Medium", TRUE, "Low")</f>
        <v>Medium</v>
      </c>
      <c r="O324" s="43">
        <f>(J324/(H324*I324))</f>
        <v>0.28365813992782746</v>
      </c>
      <c r="Q324" s="2"/>
      <c r="R324" s="2"/>
      <c r="S324" s="2"/>
      <c r="T324" s="2"/>
      <c r="U324" s="2"/>
      <c r="V324" s="2"/>
      <c r="W324" s="2"/>
      <c r="X324" s="2"/>
      <c r="Y324" s="2"/>
      <c r="Z324" s="2"/>
    </row>
    <row r="325" spans="1:26" ht="15" thickBot="1">
      <c r="A325" s="37" t="s">
        <v>492</v>
      </c>
      <c r="B325" s="37" t="s">
        <v>394</v>
      </c>
      <c r="C325" s="37" t="s">
        <v>373</v>
      </c>
      <c r="D325" s="37" t="s">
        <v>401</v>
      </c>
      <c r="E325" s="37">
        <v>9705241364</v>
      </c>
      <c r="F325" s="37" t="s">
        <v>379</v>
      </c>
      <c r="G325" s="37" t="s">
        <v>388</v>
      </c>
      <c r="H325" s="37">
        <v>458.7</v>
      </c>
      <c r="I325" s="37">
        <v>7</v>
      </c>
      <c r="J325" s="37">
        <v>839.97</v>
      </c>
      <c r="K325" s="37" t="s">
        <v>381</v>
      </c>
      <c r="L325" s="37">
        <v>3210.9</v>
      </c>
      <c r="M325" s="38" t="s">
        <v>386</v>
      </c>
      <c r="N325" s="2" t="str" cm="1">
        <f t="array" ref="N325">_xlfn.IFS(L325&gt;15000, "High", L325&gt;5000, "Medium", TRUE, "Low")</f>
        <v>Low</v>
      </c>
      <c r="O325" s="43">
        <f>(J325/(H325*I325))</f>
        <v>0.26159955152760911</v>
      </c>
      <c r="Q325" s="2"/>
      <c r="R325" s="2"/>
      <c r="S325" s="2"/>
      <c r="T325" s="2"/>
      <c r="U325" s="2"/>
      <c r="V325" s="2"/>
      <c r="W325" s="2"/>
      <c r="X325" s="2"/>
      <c r="Y325" s="2"/>
      <c r="Z325" s="2"/>
    </row>
    <row r="326" spans="1:26" ht="15" thickBot="1">
      <c r="A326" s="37" t="s">
        <v>493</v>
      </c>
      <c r="B326" s="37" t="s">
        <v>394</v>
      </c>
      <c r="C326" s="37" t="s">
        <v>373</v>
      </c>
      <c r="D326" s="37" t="s">
        <v>374</v>
      </c>
      <c r="E326" s="37">
        <v>9245776255</v>
      </c>
      <c r="F326" s="37" t="s">
        <v>375</v>
      </c>
      <c r="G326" s="37" t="s">
        <v>259</v>
      </c>
      <c r="H326" s="37">
        <v>833.16</v>
      </c>
      <c r="I326" s="37">
        <v>12</v>
      </c>
      <c r="J326" s="37">
        <v>2135.63</v>
      </c>
      <c r="K326" s="37" t="s">
        <v>381</v>
      </c>
      <c r="L326" s="37">
        <v>9997.92</v>
      </c>
      <c r="M326" s="38" t="s">
        <v>390</v>
      </c>
      <c r="N326" s="2" t="str" cm="1">
        <f t="array" ref="N326">_xlfn.IFS(L326&gt;15000, "High", L326&gt;5000, "Medium", TRUE, "Low")</f>
        <v>Medium</v>
      </c>
      <c r="O326" s="43">
        <f>(J326/(H326*I326))</f>
        <v>0.21360743034551188</v>
      </c>
      <c r="Q326" s="2"/>
      <c r="R326" s="2"/>
      <c r="S326" s="2"/>
      <c r="T326" s="2"/>
      <c r="U326" s="2"/>
      <c r="V326" s="2"/>
      <c r="W326" s="2"/>
      <c r="X326" s="2"/>
      <c r="Y326" s="2"/>
      <c r="Z326" s="2"/>
    </row>
    <row r="327" spans="1:26" ht="15" thickBot="1">
      <c r="A327" s="37" t="s">
        <v>494</v>
      </c>
      <c r="B327" s="37" t="s">
        <v>394</v>
      </c>
      <c r="C327" s="37" t="s">
        <v>373</v>
      </c>
      <c r="D327" s="37" t="s">
        <v>414</v>
      </c>
      <c r="E327" s="37">
        <v>9881212856</v>
      </c>
      <c r="F327" s="37" t="s">
        <v>375</v>
      </c>
      <c r="G327" s="37" t="s">
        <v>259</v>
      </c>
      <c r="H327" s="37">
        <v>238.37</v>
      </c>
      <c r="I327" s="37">
        <v>13</v>
      </c>
      <c r="J327" s="37">
        <v>586.94000000000005</v>
      </c>
      <c r="K327" s="37" t="s">
        <v>381</v>
      </c>
      <c r="L327" s="37">
        <v>3098.81</v>
      </c>
      <c r="M327" s="38" t="s">
        <v>386</v>
      </c>
      <c r="N327" s="2" t="str" cm="1">
        <f t="array" ref="N327">_xlfn.IFS(L327&gt;15000, "High", L327&gt;5000, "Medium", TRUE, "Low")</f>
        <v>Low</v>
      </c>
      <c r="O327" s="43">
        <f>(J327/(H327*I327))</f>
        <v>0.189408192176997</v>
      </c>
      <c r="Q327" s="2"/>
      <c r="R327" s="2"/>
      <c r="S327" s="2"/>
      <c r="T327" s="2"/>
      <c r="U327" s="2"/>
      <c r="V327" s="2"/>
      <c r="W327" s="2"/>
      <c r="X327" s="2"/>
      <c r="Y327" s="2"/>
      <c r="Z327" s="2"/>
    </row>
    <row r="328" spans="1:26" ht="15" thickBot="1">
      <c r="A328" s="37" t="s">
        <v>495</v>
      </c>
      <c r="B328" s="37" t="s">
        <v>372</v>
      </c>
      <c r="C328" s="37" t="s">
        <v>373</v>
      </c>
      <c r="D328" s="37" t="s">
        <v>401</v>
      </c>
      <c r="E328" s="37">
        <v>9916091858</v>
      </c>
      <c r="F328" s="37" t="s">
        <v>375</v>
      </c>
      <c r="G328" s="37" t="s">
        <v>266</v>
      </c>
      <c r="H328" s="37">
        <v>820.05</v>
      </c>
      <c r="I328" s="37">
        <v>3</v>
      </c>
      <c r="J328" s="37">
        <v>419.41</v>
      </c>
      <c r="K328" s="37" t="s">
        <v>262</v>
      </c>
      <c r="L328" s="37">
        <v>2460.15</v>
      </c>
      <c r="M328" s="38" t="s">
        <v>386</v>
      </c>
      <c r="N328" s="2" t="str" cm="1">
        <f t="array" ref="N328">_xlfn.IFS(L328&gt;15000, "High", L328&gt;5000, "Medium", TRUE, "Low")</f>
        <v>Low</v>
      </c>
      <c r="O328" s="43">
        <f>(J328/(H328*I328))</f>
        <v>0.17048147470682684</v>
      </c>
      <c r="Q328" s="2"/>
      <c r="R328" s="2"/>
      <c r="S328" s="2"/>
      <c r="T328" s="2"/>
      <c r="U328" s="2"/>
      <c r="V328" s="2"/>
      <c r="W328" s="2"/>
      <c r="X328" s="2"/>
      <c r="Y328" s="2"/>
      <c r="Z328" s="2"/>
    </row>
    <row r="329" spans="1:26" ht="15" thickBot="1">
      <c r="A329" s="37" t="s">
        <v>496</v>
      </c>
      <c r="B329" s="37" t="s">
        <v>406</v>
      </c>
      <c r="C329" s="37" t="s">
        <v>373</v>
      </c>
      <c r="D329" s="37" t="s">
        <v>374</v>
      </c>
      <c r="E329" s="37">
        <v>9425191872</v>
      </c>
      <c r="F329" s="37" t="s">
        <v>245</v>
      </c>
      <c r="G329" s="37" t="s">
        <v>223</v>
      </c>
      <c r="H329" s="37">
        <v>2716.33</v>
      </c>
      <c r="I329" s="37">
        <v>8</v>
      </c>
      <c r="J329" s="39">
        <v>5513.14</v>
      </c>
      <c r="K329" s="37" t="s">
        <v>381</v>
      </c>
      <c r="L329" s="37">
        <v>21730.639999999999</v>
      </c>
      <c r="M329" s="38" t="s">
        <v>377</v>
      </c>
      <c r="N329" s="2" t="str" cm="1">
        <f t="array" ref="N329">_xlfn.IFS(L329&gt;15000, "High", L329&gt;5000, "Medium", TRUE, "Low")</f>
        <v>High</v>
      </c>
      <c r="O329" s="43">
        <f>(J329/(H329*I329))</f>
        <v>0.25370352644929006</v>
      </c>
      <c r="Q329" s="2"/>
      <c r="R329" s="2"/>
      <c r="S329" s="2"/>
      <c r="T329" s="2"/>
      <c r="U329" s="2"/>
      <c r="V329" s="2"/>
      <c r="W329" s="2"/>
      <c r="X329" s="2"/>
      <c r="Y329" s="2"/>
      <c r="Z329" s="2"/>
    </row>
    <row r="330" spans="1:26" ht="15" thickBot="1">
      <c r="A330" s="37" t="s">
        <v>497</v>
      </c>
      <c r="B330" s="37" t="s">
        <v>406</v>
      </c>
      <c r="C330" s="37" t="s">
        <v>373</v>
      </c>
      <c r="D330" s="37" t="s">
        <v>414</v>
      </c>
      <c r="E330" s="37">
        <v>9459337548</v>
      </c>
      <c r="F330" s="37" t="s">
        <v>375</v>
      </c>
      <c r="G330" s="37" t="s">
        <v>411</v>
      </c>
      <c r="H330" s="37">
        <v>1918.81</v>
      </c>
      <c r="I330" s="37">
        <v>1</v>
      </c>
      <c r="J330" s="37">
        <v>442.75</v>
      </c>
      <c r="K330" s="37" t="s">
        <v>389</v>
      </c>
      <c r="L330" s="37">
        <v>1918.81</v>
      </c>
      <c r="M330" s="38" t="s">
        <v>386</v>
      </c>
      <c r="N330" s="2" t="str" cm="1">
        <f t="array" ref="N330">_xlfn.IFS(L330&gt;15000, "High", L330&gt;5000, "Medium", TRUE, "Low")</f>
        <v>Low</v>
      </c>
      <c r="O330" s="43">
        <f>(J330/(H330*I330))</f>
        <v>0.23074197028366542</v>
      </c>
      <c r="Q330" s="2"/>
      <c r="R330" s="2"/>
      <c r="S330" s="2"/>
      <c r="T330" s="2"/>
      <c r="U330" s="2"/>
      <c r="V330" s="2"/>
      <c r="W330" s="2"/>
      <c r="X330" s="2"/>
      <c r="Y330" s="2"/>
      <c r="Z330" s="2"/>
    </row>
    <row r="331" spans="1:26" ht="15" thickBo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 thickBo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 thickBot="1">
      <c r="A333" s="2"/>
      <c r="E333" s="2"/>
      <c r="F333" s="2"/>
      <c r="G333" s="2"/>
      <c r="H333" s="2"/>
      <c r="I333" s="2"/>
      <c r="J333" s="2"/>
      <c r="K333" s="2"/>
      <c r="L333" s="2"/>
      <c r="M333" s="2"/>
      <c r="N333" s="2"/>
      <c r="O333" s="2"/>
      <c r="P333" s="2"/>
      <c r="Q333" s="2"/>
      <c r="R333" s="2"/>
      <c r="S333" s="2"/>
      <c r="T333" s="2"/>
      <c r="U333" s="2"/>
      <c r="V333" s="2"/>
      <c r="W333" s="2"/>
      <c r="X333" s="2"/>
      <c r="Y333" s="2"/>
      <c r="Z333" s="2"/>
    </row>
    <row r="334" spans="1:26" ht="15" thickBot="1">
      <c r="A334" s="2"/>
      <c r="E334" s="2"/>
      <c r="F334" s="2"/>
      <c r="G334" s="2"/>
      <c r="H334" s="2"/>
      <c r="I334" s="2"/>
      <c r="J334" s="2"/>
      <c r="K334" s="2"/>
      <c r="L334" s="2"/>
      <c r="M334" s="2"/>
      <c r="N334" s="2"/>
      <c r="O334" s="2"/>
      <c r="P334" s="2"/>
      <c r="Q334" s="2"/>
      <c r="R334" s="2"/>
      <c r="S334" s="2"/>
      <c r="T334" s="2"/>
      <c r="U334" s="2"/>
      <c r="V334" s="2"/>
      <c r="W334" s="2"/>
      <c r="X334" s="2"/>
      <c r="Y334" s="2"/>
      <c r="Z334" s="2"/>
    </row>
    <row r="335" spans="1:26" ht="15" thickBot="1">
      <c r="A335" s="2"/>
      <c r="E335" s="2"/>
      <c r="F335" s="2"/>
      <c r="G335" s="2"/>
      <c r="H335" s="2"/>
      <c r="I335" s="2"/>
      <c r="J335" s="2"/>
      <c r="K335" s="2"/>
      <c r="L335" s="2"/>
      <c r="M335" s="2"/>
      <c r="N335" s="2"/>
      <c r="O335" s="2"/>
      <c r="P335" s="2"/>
      <c r="Q335" s="2"/>
      <c r="R335" s="2"/>
      <c r="S335" s="2"/>
      <c r="T335" s="2"/>
      <c r="U335" s="2"/>
      <c r="V335" s="2"/>
      <c r="W335" s="2"/>
      <c r="X335" s="2"/>
      <c r="Y335" s="2"/>
      <c r="Z335" s="2"/>
    </row>
    <row r="336" spans="1:26" ht="15" thickBot="1">
      <c r="A336" s="2"/>
      <c r="E336" s="2"/>
      <c r="F336" s="2"/>
      <c r="G336" s="2"/>
      <c r="H336" s="2"/>
      <c r="I336" s="2"/>
      <c r="J336" s="2"/>
      <c r="K336" s="2"/>
      <c r="L336" s="2"/>
      <c r="M336" s="2"/>
      <c r="N336" s="2"/>
      <c r="O336" s="2"/>
      <c r="P336" s="2"/>
      <c r="Q336" s="2"/>
      <c r="R336" s="2"/>
      <c r="S336" s="2"/>
      <c r="T336" s="2"/>
      <c r="U336" s="2"/>
      <c r="V336" s="2"/>
      <c r="W336" s="2"/>
      <c r="X336" s="2"/>
      <c r="Y336" s="2"/>
      <c r="Z336" s="2"/>
    </row>
    <row r="337" spans="1:26" ht="15" thickBot="1">
      <c r="A337" s="2"/>
      <c r="E337" s="2"/>
      <c r="F337" s="2"/>
      <c r="G337" s="2"/>
      <c r="H337" s="2"/>
      <c r="I337" s="2"/>
      <c r="J337" s="2"/>
      <c r="K337" s="2"/>
      <c r="L337" s="2"/>
      <c r="M337" s="2"/>
      <c r="N337" s="2"/>
      <c r="O337" s="2"/>
      <c r="P337" s="2"/>
      <c r="Q337" s="2"/>
      <c r="R337" s="2"/>
      <c r="S337" s="2"/>
      <c r="T337" s="2"/>
      <c r="U337" s="2"/>
      <c r="V337" s="2"/>
      <c r="W337" s="2"/>
      <c r="X337" s="2"/>
      <c r="Y337" s="2"/>
      <c r="Z337" s="2"/>
    </row>
    <row r="338" spans="1:26" ht="15" thickBot="1">
      <c r="A338" s="2"/>
      <c r="E338" s="2"/>
      <c r="F338" s="2"/>
      <c r="G338" s="2"/>
      <c r="H338" s="2"/>
      <c r="I338" s="2"/>
      <c r="J338" s="2"/>
      <c r="K338" s="2"/>
      <c r="L338" s="2"/>
      <c r="M338" s="2"/>
      <c r="N338" s="2"/>
      <c r="O338" s="2"/>
      <c r="P338" s="2"/>
      <c r="Q338" s="2"/>
      <c r="R338" s="2"/>
      <c r="S338" s="2"/>
      <c r="T338" s="2"/>
      <c r="U338" s="2"/>
      <c r="V338" s="2"/>
      <c r="W338" s="2"/>
      <c r="X338" s="2"/>
      <c r="Y338" s="2"/>
      <c r="Z338" s="2"/>
    </row>
    <row r="339" spans="1:26" ht="15" thickBo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 thickBo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 thickBo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 thickBo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 thickBo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 thickBo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 thickBo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 thickBo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 thickBo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 thickBo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 thickBo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 thickBo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 thickBo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 thickBo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 thickBo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 thickBo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 thickBo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 thickBo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 thickBo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 thickBo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 thickBo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 thickBo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 thickBo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 thickBo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 thickBo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 thickBo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 thickBo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 thickBo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 thickBo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 thickBo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 thickBo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 thickBo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 thickBo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 thickBo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 thickBo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 thickBo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 thickBo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 thickBo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 thickBo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 thickBo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 thickBo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 thickBo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 thickBo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 thickBo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 thickBo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 thickBo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 thickBo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 thickBo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 thickBo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 thickBo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 thickBo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 thickBo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 thickBo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 thickBo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 thickBo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 thickBo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 thickBo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 thickBo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 thickBo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 thickBo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 thickBo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 thickBo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 thickBo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 thickBo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 thickBo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 thickBo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 thickBo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 thickBo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 thickBo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 thickBo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 thickBo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 thickBo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 thickBo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 thickBo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 thickBo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 thickBo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 thickBo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 thickBo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 thickBo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 thickBo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 thickBo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 thickBo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 thickBo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 thickBo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 thickBo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 thickBo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 thickBo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 thickBo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 thickBo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 thickBo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 thickBo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 thickBo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 thickBo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 thickBo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 thickBo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 thickBo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 thickBo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 thickBo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 thickBo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 thickBo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 thickBo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 thickBo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 thickBo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 thickBo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 thickBo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 thickBo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 thickBo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 thickBo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 thickBo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 thickBo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 thickBo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 thickBo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 thickBo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 thickBo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 thickBo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 thickBo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 thickBo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 thickBo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 thickBo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 thickBo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 thickBo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 thickBo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 thickBo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 thickBo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 thickBo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 thickBo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 thickBo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 thickBo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 thickBo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 thickBo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 thickBo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 thickBo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 thickBo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 thickBo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 thickBo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 thickBo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 thickBo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 thickBo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 thickBo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 thickBo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 thickBo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 thickBo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 thickBo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 thickBo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 thickBo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 thickBo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 thickBo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 thickBo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 thickBo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 thickBo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 thickBo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 thickBo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 thickBo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 thickBo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 thickBo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 thickBo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 thickBo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 thickBo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 thickBo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 thickBo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 thickBo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 thickBo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 thickBo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 thickBo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 thickBo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 thickBo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 thickBo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 thickBo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 thickBo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 thickBo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 thickBo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 thickBo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 thickBo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 thickBo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 thickBo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 thickBo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 thickBo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 thickBo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 thickBo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 thickBo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 thickBo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 thickBo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 thickBo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 thickBo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 thickBo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 thickBo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 thickBo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 thickBo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 thickBo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 thickBo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 thickBo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 thickBo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 thickBo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 thickBo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 thickBo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 thickBo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 thickBo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 thickBo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 thickBo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 thickBo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 thickBo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 thickBo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 thickBo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 thickBo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 thickBo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 thickBo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 thickBo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 thickBo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 thickBo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 thickBo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 thickBo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 thickBo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 thickBo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 thickBo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 thickBo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 thickBo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 thickBo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 thickBo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 thickBo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 thickBo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 thickBo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 thickBo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 thickBo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 thickBo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 thickBo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 thickBo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 thickBo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 thickBo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 thickBo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 thickBo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 thickBo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 thickBo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 thickBo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 thickBo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 thickBo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 thickBo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 thickBo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 thickBo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 thickBo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 thickBo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 thickBo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 thickBo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 thickBo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 thickBo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 thickBo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 thickBo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 thickBo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 thickBo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 thickBo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 thickBo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 thickBo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 thickBo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 thickBo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 thickBo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 thickBo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 thickBo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 thickBo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 thickBo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 thickBo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 thickBo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 thickBo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 thickBo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 thickBo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 thickBo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 thickBo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 thickBo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 thickBo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 thickBo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 thickBo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 thickBo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 thickBo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 thickBo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 thickBo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 thickBo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 thickBo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 thickBo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 thickBo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 thickBo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 thickBo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 thickBo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 thickBo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 thickBo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 thickBo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 thickBo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 thickBo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 thickBo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 thickBo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 thickBo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 thickBo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 thickBo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 thickBo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 thickBo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 thickBo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 thickBo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 thickBo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 thickBo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 thickBo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 thickBo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 thickBo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 thickBo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 thickBo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 thickBo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 thickBo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 thickBo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 thickBo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 thickBo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 thickBo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 thickBo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 thickBo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 thickBo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 thickBo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 thickBo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 thickBo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 thickBo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 thickBo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 thickBo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 thickBo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 thickBo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 thickBo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 thickBo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 thickBo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 thickBo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 thickBo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 thickBo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 thickBo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 thickBo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 thickBo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 thickBo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 thickBo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 thickBo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 thickBo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 thickBo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 thickBo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 thickBo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 thickBo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 thickBo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 thickBo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 thickBo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 thickBo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 thickBo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 thickBo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 thickBo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 thickBo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 thickBo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 thickBo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 thickBo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 thickBo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 thickBo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 thickBo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 thickBo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 thickBo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 thickBo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 thickBo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 thickBo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 thickBo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 thickBo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 thickBo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 thickBo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 thickBo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 thickBo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 thickBo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 thickBo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 thickBo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 thickBo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 thickBo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 thickBo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 thickBo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 thickBo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 thickBo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 thickBo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 thickBo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 thickBo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 thickBo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 thickBo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 thickBo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 thickBo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 thickBo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 thickBo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 thickBo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 thickBo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 thickBo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 thickBo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 thickBo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 thickBo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 thickBo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 thickBo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 thickBo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 thickBo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 thickBo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 thickBo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 thickBo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 thickBo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 thickBo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 thickBo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 thickBo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 thickBo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 thickBo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 thickBo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 thickBo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 thickBo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 thickBo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 thickBo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 thickBo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 thickBo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 thickBo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 thickBo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 thickBo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 thickBo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 thickBo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 thickBo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 thickBo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 thickBo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 thickBo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 thickBo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 thickBo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 thickBo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 thickBo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 thickBo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 thickBo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 thickBo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 thickBo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 thickBo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 thickBo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 thickBo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 thickBo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 thickBo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 thickBo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 thickBo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 thickBo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 thickBo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 thickBo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 thickBo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 thickBo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 thickBo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 thickBo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 thickBo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 thickBo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 thickBo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 thickBo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 thickBo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 thickBo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 thickBo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 thickBo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 thickBo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 thickBo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 thickBo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 thickBo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 thickBo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 thickBo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 thickBo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 thickBo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 thickBo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 thickBo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 thickBo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 thickBo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 thickBo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 thickBo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 thickBo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 thickBo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 thickBo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 thickBo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 thickBo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 thickBo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 thickBo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 thickBo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 thickBo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 thickBo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 thickBo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 thickBo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 thickBo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 thickBo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 thickBo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 thickBo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 thickBo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 thickBo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 thickBo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 thickBo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 thickBo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 thickBo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 thickBo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 thickBo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 thickBo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 thickBo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 thickBo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 thickBo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 thickBo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 thickBo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 thickBo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 thickBo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 thickBo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 thickBo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 thickBo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 thickBo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 thickBo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 thickBo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 thickBo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 thickBo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 thickBo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 thickBo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 thickBo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 thickBo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 thickBo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 thickBo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 thickBo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 thickBo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 thickBo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 thickBo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 thickBo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 thickBo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 thickBo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 thickBo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 thickBo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 thickBo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 thickBo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 thickBo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 thickBo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 thickBo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 thickBo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 thickBo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 thickBo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 thickBo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 thickBo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 thickBo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 thickBo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 thickBo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 thickBo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 thickBo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 thickBo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 thickBo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 thickBo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 thickBo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 thickBo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 thickBo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 thickBo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 thickBo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 thickBo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 thickBo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 thickBo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 thickBo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 thickBo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 thickBo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 thickBo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 thickBo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 thickBo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 thickBo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 thickBo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 thickBo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 thickBo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 thickBo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 thickBo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 thickBo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 thickBo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 thickBo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 thickBo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 thickBo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 thickBo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 thickBo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 thickBo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 thickBo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 thickBo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 thickBo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 thickBo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 thickBo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 thickBo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 thickBo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 thickBo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 thickBo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 thickBo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 thickBo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 thickBo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 thickBo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 thickBo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 thickBo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 thickBo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 thickBo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 thickBo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 thickBo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 thickBo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 thickBo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 thickBo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 thickBo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 thickBo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 thickBo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 thickBo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 thickBo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 thickBo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 thickBo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 thickBo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 thickBo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 thickBo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 thickBo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 thickBo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 thickBo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 thickBo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 thickBo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 thickBo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 thickBo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 thickBo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 thickBo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 thickBo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 thickBo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 thickBo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 thickBo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 thickBo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 thickBo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 thickBo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 thickBo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 thickBo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 thickBo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 thickBo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 thickBo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 thickBo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 thickBo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 thickBo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 thickBo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 thickBo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 thickBo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 thickBo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 thickBo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 thickBo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 thickBo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 thickBo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 thickBo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 thickBo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 thickBo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 thickBo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 thickBo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 thickBo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 thickBo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 thickBo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 thickBo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 thickBo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 thickBo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 thickBo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 thickBo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 thickBo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 thickBo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 thickBo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 thickBo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 thickBo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 thickBo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 thickBo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 thickBo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 thickBo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 thickBo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 thickBo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 thickBo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 thickBo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 thickBo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 thickBo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 thickBo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 thickBo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 thickBo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 thickBo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 thickBo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 thickBo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 thickBo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 thickBo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 thickBo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 thickBo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A167:L167"/>
    <mergeCell ref="A220:L220"/>
    <mergeCell ref="A14:Z14"/>
    <mergeCell ref="A8:Z8"/>
    <mergeCell ref="A2:Z2"/>
    <mergeCell ref="A5:Z5"/>
    <mergeCell ref="A11:Z11"/>
  </mergeCells>
  <conditionalFormatting sqref="E231:E330">
    <cfRule type="expression" dxfId="1" priority="2">
      <formula>LEN($E231)&lt;&gt;10</formula>
    </cfRule>
  </conditionalFormatting>
  <conditionalFormatting sqref="J231:J330">
    <cfRule type="expression" dxfId="0" priority="1">
      <formula>$J231&gt;5000</formula>
    </cfRule>
  </conditionalFormatting>
  <dataValidations count="2">
    <dataValidation type="list" allowBlank="1" showInputMessage="1" showErrorMessage="1" sqref="F169 N169" xr:uid="{BD7278B8-E350-45A2-BD26-8E7DB82EBA4F}">
      <formula1>$F$169:$F$218</formula1>
    </dataValidation>
    <dataValidation type="whole" allowBlank="1" showInputMessage="1" showErrorMessage="1" sqref="I230:I330" xr:uid="{90DCBFBD-73B9-4D9E-ABCD-FD8321AEC99D}">
      <formula1>1</formula1>
      <formula2>20</formula2>
    </dataValidation>
  </dataValidation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Devendra kumar</dc:creator>
  <cp:lastModifiedBy>Devendra kumar</cp:lastModifiedBy>
  <dcterms:created xsi:type="dcterms:W3CDTF">2026-04-04T09:41:33Z</dcterms:created>
  <dcterms:modified xsi:type="dcterms:W3CDTF">2026-04-08T08:43:04Z</dcterms:modified>
</cp:coreProperties>
</file>